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A:\Mele\Lavoro\Claude preparazione\Ripasso VBA\"/>
    </mc:Choice>
  </mc:AlternateContent>
  <xr:revisionPtr revIDLastSave="0" documentId="13_ncr:1_{E6050A7F-953A-463A-9EF7-0C86E7AC6647}" xr6:coauthVersionLast="47" xr6:coauthVersionMax="47" xr10:uidLastSave="{00000000-0000-0000-0000-000000000000}"/>
  <bookViews>
    <workbookView xWindow="20160" yWindow="0" windowWidth="18240" windowHeight="21000" activeTab="4" xr2:uid="{00000000-000D-0000-FFFF-FFFF00000000}"/>
  </bookViews>
  <sheets>
    <sheet name="Sheet1" sheetId="1" r:id="rId1"/>
    <sheet name="Anagrafica" sheetId="3" r:id="rId2"/>
    <sheet name="Bonds" sheetId="4" r:id="rId3"/>
    <sheet name="Report" sheetId="5" r:id="rId4"/>
    <sheet name="PortafoglioPro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4" l="1" a="1"/>
  <c r="J5" i="4" a="1"/>
  <c r="H5" i="4" a="1"/>
  <c r="H6" i="4" a="1"/>
  <c r="J8" i="4" a="1"/>
  <c r="J6" i="4" a="1"/>
  <c r="J10" i="4" a="1"/>
  <c r="J9" i="4" a="1"/>
  <c r="J7" i="4" a="1"/>
  <c r="I8" i="4" a="1"/>
  <c r="I10" i="4" a="1"/>
  <c r="I9" i="4" a="1"/>
  <c r="I7" i="4" a="1"/>
  <c r="I5" i="4" a="1"/>
  <c r="H8" i="4" a="1"/>
  <c r="H9" i="4" a="1"/>
  <c r="H10" i="4" a="1"/>
  <c r="H7" i="4" a="1"/>
  <c r="I6" i="4" l="1"/>
  <c r="J5" i="4"/>
  <c r="H5" i="4"/>
  <c r="H6" i="4"/>
  <c r="J7" i="4"/>
  <c r="J9" i="4"/>
  <c r="J10" i="4"/>
  <c r="J6" i="4"/>
  <c r="J8" i="4"/>
  <c r="I7" i="4"/>
  <c r="I9" i="4"/>
  <c r="I10" i="4"/>
  <c r="I8" i="4"/>
  <c r="I5" i="4"/>
  <c r="H7" i="4"/>
  <c r="H10" i="4"/>
  <c r="H9" i="4"/>
  <c r="H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<sst xmlns="http://schemas.openxmlformats.org/spreadsheetml/2006/main" count="2191" uniqueCount="1097">
  <si>
    <t>Riga</t>
  </si>
  <si>
    <t>A (Ticker)</t>
  </si>
  <si>
    <t>B (Quantità)</t>
  </si>
  <si>
    <t>C (Prezzo Acquisto)</t>
  </si>
  <si>
    <t>D (Prezzo Corrente)</t>
  </si>
  <si>
    <t>E (P&amp;L)</t>
  </si>
  <si>
    <t>Ticker</t>
  </si>
  <si>
    <t>Quantità</t>
  </si>
  <si>
    <t>Prezzo Acquisto</t>
  </si>
  <si>
    <t>Prezzo Corrente</t>
  </si>
  <si>
    <t>P&amp;L</t>
  </si>
  <si>
    <t>ENI</t>
  </si>
  <si>
    <t>ENEL</t>
  </si>
  <si>
    <t>ISP</t>
  </si>
  <si>
    <t>UCG</t>
  </si>
  <si>
    <t>STM</t>
  </si>
  <si>
    <t>TIT</t>
  </si>
  <si>
    <t>TEN</t>
  </si>
  <si>
    <t>RACE</t>
  </si>
  <si>
    <t>MB</t>
  </si>
  <si>
    <t>G</t>
  </si>
  <si>
    <t>Tot</t>
  </si>
  <si>
    <t>12,50</t>
  </si>
  <si>
    <t>6,80</t>
  </si>
  <si>
    <t>2,40</t>
  </si>
  <si>
    <t>28,00</t>
  </si>
  <si>
    <t>45,00</t>
  </si>
  <si>
    <t>0,28</t>
  </si>
  <si>
    <t>38,50</t>
  </si>
  <si>
    <t>380,00</t>
  </si>
  <si>
    <t>12,00</t>
  </si>
  <si>
    <t>22,50</t>
  </si>
  <si>
    <t>B (Nome)</t>
  </si>
  <si>
    <t>C (Settore)</t>
  </si>
  <si>
    <t>D (Rating)</t>
  </si>
  <si>
    <t>(header)</t>
  </si>
  <si>
    <t>Eni SpA</t>
  </si>
  <si>
    <t>Energy</t>
  </si>
  <si>
    <t>A</t>
  </si>
  <si>
    <t>Enel SpA</t>
  </si>
  <si>
    <t>Utilities</t>
  </si>
  <si>
    <t>BBB</t>
  </si>
  <si>
    <t>Intesa SP</t>
  </si>
  <si>
    <t>Banks</t>
  </si>
  <si>
    <t>UniCredit</t>
  </si>
  <si>
    <t>STMicro</t>
  </si>
  <si>
    <t>Tech</t>
  </si>
  <si>
    <t>Telecom Italia</t>
  </si>
  <si>
    <t>Telecom</t>
  </si>
  <si>
    <t>B</t>
  </si>
  <si>
    <t>Tenaris</t>
  </si>
  <si>
    <t>Ferrari</t>
  </si>
  <si>
    <t>Auto</t>
  </si>
  <si>
    <t>Mediobanca</t>
  </si>
  <si>
    <t>Generali</t>
  </si>
  <si>
    <t>Insurance</t>
  </si>
  <si>
    <t>G (Nome)</t>
  </si>
  <si>
    <t>H (Settore)</t>
  </si>
  <si>
    <t>I (Rating)</t>
  </si>
  <si>
    <t>Nome</t>
  </si>
  <si>
    <t>Settore</t>
  </si>
  <si>
    <t>Rating</t>
  </si>
  <si>
    <t>Investment Grade Alto (A+)</t>
  </si>
  <si>
    <t>Investment Grade Basso (BBB)</t>
  </si>
  <si>
    <t>Speculative (BB/B)</t>
  </si>
  <si>
    <t>High Risk / Default</t>
  </si>
  <si>
    <t>N/D</t>
  </si>
  <si>
    <t>Count</t>
  </si>
  <si>
    <t>C</t>
  </si>
  <si>
    <t>D</t>
  </si>
  <si>
    <t>E</t>
  </si>
  <si>
    <t>F</t>
  </si>
  <si>
    <t>H</t>
  </si>
  <si>
    <t>Cedola</t>
  </si>
  <si>
    <t>YTM</t>
  </si>
  <si>
    <t>Maturità (anni)</t>
  </si>
  <si>
    <t>Val. Nominale</t>
  </si>
  <si>
    <t>Prezzo</t>
  </si>
  <si>
    <t>Duration Macaulay</t>
  </si>
  <si>
    <t>Duration Modificata</t>
  </si>
  <si>
    <t>BTP 5Y 5%</t>
  </si>
  <si>
    <t>BTP 10Y 3%</t>
  </si>
  <si>
    <t>Zero Coupon 10Y</t>
  </si>
  <si>
    <t>Bond 20Y 7%</t>
  </si>
  <si>
    <t>Perpetual 30Y 5%</t>
  </si>
  <si>
    <t>High Yield 5Y 10%</t>
  </si>
  <si>
    <t>Quantita</t>
  </si>
  <si>
    <t>TKR0001</t>
  </si>
  <si>
    <t>TKR0002</t>
  </si>
  <si>
    <t>TKR0003</t>
  </si>
  <si>
    <t>Retail</t>
  </si>
  <si>
    <t>TKR0004</t>
  </si>
  <si>
    <t>TKR0005</t>
  </si>
  <si>
    <t>TKR0006</t>
  </si>
  <si>
    <t>TKR0007</t>
  </si>
  <si>
    <t>TKR0008</t>
  </si>
  <si>
    <t>Industrial</t>
  </si>
  <si>
    <t>TKR0009</t>
  </si>
  <si>
    <t>TKR0010</t>
  </si>
  <si>
    <t>TKR0011</t>
  </si>
  <si>
    <t>TKR0012</t>
  </si>
  <si>
    <t>TKR0013</t>
  </si>
  <si>
    <t>TKR0014</t>
  </si>
  <si>
    <t>TKR0015</t>
  </si>
  <si>
    <t>TKR0016</t>
  </si>
  <si>
    <t>Pharma</t>
  </si>
  <si>
    <t>TKR0017</t>
  </si>
  <si>
    <t>TKR0018</t>
  </si>
  <si>
    <t>TKR0019</t>
  </si>
  <si>
    <t>TKR0020</t>
  </si>
  <si>
    <t>TKR0021</t>
  </si>
  <si>
    <t>TKR0022</t>
  </si>
  <si>
    <t>TKR0023</t>
  </si>
  <si>
    <t>TKR0024</t>
  </si>
  <si>
    <t>TKR0025</t>
  </si>
  <si>
    <t>TKR0026</t>
  </si>
  <si>
    <t>TKR0027</t>
  </si>
  <si>
    <t>TKR0028</t>
  </si>
  <si>
    <t>TKR0029</t>
  </si>
  <si>
    <t>TKR0030</t>
  </si>
  <si>
    <t>TKR0031</t>
  </si>
  <si>
    <t>TKR0032</t>
  </si>
  <si>
    <t>TKR0033</t>
  </si>
  <si>
    <t>TKR0034</t>
  </si>
  <si>
    <t>TKR0035</t>
  </si>
  <si>
    <t>TKR0036</t>
  </si>
  <si>
    <t>TKR0037</t>
  </si>
  <si>
    <t>TKR0038</t>
  </si>
  <si>
    <t>TKR0039</t>
  </si>
  <si>
    <t>TKR0040</t>
  </si>
  <si>
    <t>TKR0041</t>
  </si>
  <si>
    <t>TKR0042</t>
  </si>
  <si>
    <t>TKR0043</t>
  </si>
  <si>
    <t>TKR0044</t>
  </si>
  <si>
    <t>TKR0045</t>
  </si>
  <si>
    <t>TKR0046</t>
  </si>
  <si>
    <t>TKR0047</t>
  </si>
  <si>
    <t>TKR0048</t>
  </si>
  <si>
    <t>TKR0049</t>
  </si>
  <si>
    <t>TKR0050</t>
  </si>
  <si>
    <t>TKR0051</t>
  </si>
  <si>
    <t>TKR0052</t>
  </si>
  <si>
    <t>TKR0053</t>
  </si>
  <si>
    <t>TKR0054</t>
  </si>
  <si>
    <t>TKR0055</t>
  </si>
  <si>
    <t>TKR0056</t>
  </si>
  <si>
    <t>TKR0057</t>
  </si>
  <si>
    <t>TKR0058</t>
  </si>
  <si>
    <t>TKR0059</t>
  </si>
  <si>
    <t>TKR0060</t>
  </si>
  <si>
    <t>TKR0061</t>
  </si>
  <si>
    <t>TKR0062</t>
  </si>
  <si>
    <t>TKR0063</t>
  </si>
  <si>
    <t>TKR0064</t>
  </si>
  <si>
    <t>TKR0065</t>
  </si>
  <si>
    <t>TKR0066</t>
  </si>
  <si>
    <t>TKR0067</t>
  </si>
  <si>
    <t>TKR0068</t>
  </si>
  <si>
    <t>TKR0069</t>
  </si>
  <si>
    <t>TKR0070</t>
  </si>
  <si>
    <t>TKR0071</t>
  </si>
  <si>
    <t>TKR0072</t>
  </si>
  <si>
    <t>TKR0073</t>
  </si>
  <si>
    <t>TKR0074</t>
  </si>
  <si>
    <t>TKR0075</t>
  </si>
  <si>
    <t>TKR0076</t>
  </si>
  <si>
    <t>TKR0077</t>
  </si>
  <si>
    <t>TKR0078</t>
  </si>
  <si>
    <t>TKR0079</t>
  </si>
  <si>
    <t>TKR0080</t>
  </si>
  <si>
    <t>TKR0081</t>
  </si>
  <si>
    <t>TKR0082</t>
  </si>
  <si>
    <t>TKR0083</t>
  </si>
  <si>
    <t>TKR0084</t>
  </si>
  <si>
    <t>TKR0085</t>
  </si>
  <si>
    <t>TKR0086</t>
  </si>
  <si>
    <t>TKR0087</t>
  </si>
  <si>
    <t>TKR0088</t>
  </si>
  <si>
    <t>TKR0089</t>
  </si>
  <si>
    <t>TKR0090</t>
  </si>
  <si>
    <t>TKR0091</t>
  </si>
  <si>
    <t>TKR0092</t>
  </si>
  <si>
    <t>TKR0093</t>
  </si>
  <si>
    <t>TKR0094</t>
  </si>
  <si>
    <t>TKR0095</t>
  </si>
  <si>
    <t>TKR0096</t>
  </si>
  <si>
    <t>TKR0097</t>
  </si>
  <si>
    <t>TKR0098</t>
  </si>
  <si>
    <t>TKR0099</t>
  </si>
  <si>
    <t>TKR0100</t>
  </si>
  <si>
    <t>TKR0101</t>
  </si>
  <si>
    <t>TKR0102</t>
  </si>
  <si>
    <t>TKR0103</t>
  </si>
  <si>
    <t>TKR0104</t>
  </si>
  <si>
    <t>TKR0105</t>
  </si>
  <si>
    <t>TKR0106</t>
  </si>
  <si>
    <t>TKR0107</t>
  </si>
  <si>
    <t>TKR0108</t>
  </si>
  <si>
    <t>TKR0109</t>
  </si>
  <si>
    <t>TKR0110</t>
  </si>
  <si>
    <t>TKR0111</t>
  </si>
  <si>
    <t>TKR0112</t>
  </si>
  <si>
    <t>TKR0113</t>
  </si>
  <si>
    <t>TKR0114</t>
  </si>
  <si>
    <t>TKR0115</t>
  </si>
  <si>
    <t>TKR0116</t>
  </si>
  <si>
    <t>TKR0117</t>
  </si>
  <si>
    <t>TKR0118</t>
  </si>
  <si>
    <t>TKR0119</t>
  </si>
  <si>
    <t>TKR0120</t>
  </si>
  <si>
    <t>TKR0121</t>
  </si>
  <si>
    <t>TKR0122</t>
  </si>
  <si>
    <t>TKR0123</t>
  </si>
  <si>
    <t>TKR0124</t>
  </si>
  <si>
    <t>TKR0125</t>
  </si>
  <si>
    <t>TKR0126</t>
  </si>
  <si>
    <t>TKR0127</t>
  </si>
  <si>
    <t>TKR0128</t>
  </si>
  <si>
    <t>TKR0129</t>
  </si>
  <si>
    <t>TKR0130</t>
  </si>
  <si>
    <t>TKR0131</t>
  </si>
  <si>
    <t>TKR0132</t>
  </si>
  <si>
    <t>TKR0133</t>
  </si>
  <si>
    <t>TKR0134</t>
  </si>
  <si>
    <t>TKR0135</t>
  </si>
  <si>
    <t>TKR0136</t>
  </si>
  <si>
    <t>TKR0137</t>
  </si>
  <si>
    <t>TKR0138</t>
  </si>
  <si>
    <t>TKR0139</t>
  </si>
  <si>
    <t>TKR0140</t>
  </si>
  <si>
    <t>TKR0141</t>
  </si>
  <si>
    <t>TKR0142</t>
  </si>
  <si>
    <t>TKR0143</t>
  </si>
  <si>
    <t>TKR0144</t>
  </si>
  <si>
    <t>TKR0145</t>
  </si>
  <si>
    <t>TKR0146</t>
  </si>
  <si>
    <t>TKR0147</t>
  </si>
  <si>
    <t>TKR0148</t>
  </si>
  <si>
    <t>TKR0149</t>
  </si>
  <si>
    <t>TKR0150</t>
  </si>
  <si>
    <t>TKR0151</t>
  </si>
  <si>
    <t>TKR0152</t>
  </si>
  <si>
    <t>TKR0153</t>
  </si>
  <si>
    <t>TKR0154</t>
  </si>
  <si>
    <t>TKR0155</t>
  </si>
  <si>
    <t>TKR0156</t>
  </si>
  <si>
    <t>TKR0157</t>
  </si>
  <si>
    <t>TKR0158</t>
  </si>
  <si>
    <t>TKR0159</t>
  </si>
  <si>
    <t>TKR0160</t>
  </si>
  <si>
    <t>TKR0161</t>
  </si>
  <si>
    <t>TKR0162</t>
  </si>
  <si>
    <t>TKR0163</t>
  </si>
  <si>
    <t>TKR0164</t>
  </si>
  <si>
    <t>TKR0165</t>
  </si>
  <si>
    <t>TKR0166</t>
  </si>
  <si>
    <t>TKR0167</t>
  </si>
  <si>
    <t>TKR0168</t>
  </si>
  <si>
    <t>TKR0169</t>
  </si>
  <si>
    <t>TKR0170</t>
  </si>
  <si>
    <t>TKR0171</t>
  </si>
  <si>
    <t>TKR0172</t>
  </si>
  <si>
    <t>TKR0173</t>
  </si>
  <si>
    <t>TKR0174</t>
  </si>
  <si>
    <t>TKR0175</t>
  </si>
  <si>
    <t>TKR0176</t>
  </si>
  <si>
    <t>TKR0177</t>
  </si>
  <si>
    <t>TKR0178</t>
  </si>
  <si>
    <t>TKR0179</t>
  </si>
  <si>
    <t>TKR0180</t>
  </si>
  <si>
    <t>TKR0181</t>
  </si>
  <si>
    <t>TKR0182</t>
  </si>
  <si>
    <t>TKR0183</t>
  </si>
  <si>
    <t>TKR0184</t>
  </si>
  <si>
    <t>TKR0185</t>
  </si>
  <si>
    <t>TKR0186</t>
  </si>
  <si>
    <t>TKR0187</t>
  </si>
  <si>
    <t>TKR0188</t>
  </si>
  <si>
    <t>TKR0189</t>
  </si>
  <si>
    <t>TKR0190</t>
  </si>
  <si>
    <t>TKR0191</t>
  </si>
  <si>
    <t>TKR0192</t>
  </si>
  <si>
    <t>TKR0193</t>
  </si>
  <si>
    <t>TKR0194</t>
  </si>
  <si>
    <t>TKR0195</t>
  </si>
  <si>
    <t>TKR0196</t>
  </si>
  <si>
    <t>TKR0197</t>
  </si>
  <si>
    <t>TKR0198</t>
  </si>
  <si>
    <t>TKR0199</t>
  </si>
  <si>
    <t>TKR0200</t>
  </si>
  <si>
    <t>TKR0201</t>
  </si>
  <si>
    <t>TKR0202</t>
  </si>
  <si>
    <t>TKR0203</t>
  </si>
  <si>
    <t>TKR0204</t>
  </si>
  <si>
    <t>TKR0205</t>
  </si>
  <si>
    <t>TKR0206</t>
  </si>
  <si>
    <t>TKR0207</t>
  </si>
  <si>
    <t>TKR0208</t>
  </si>
  <si>
    <t>TKR0209</t>
  </si>
  <si>
    <t>TKR0210</t>
  </si>
  <si>
    <t>TKR0211</t>
  </si>
  <si>
    <t>TKR0212</t>
  </si>
  <si>
    <t>TKR0213</t>
  </si>
  <si>
    <t>TKR0214</t>
  </si>
  <si>
    <t>TKR0215</t>
  </si>
  <si>
    <t>TKR0216</t>
  </si>
  <si>
    <t>TKR0217</t>
  </si>
  <si>
    <t>TKR0218</t>
  </si>
  <si>
    <t>TKR0219</t>
  </si>
  <si>
    <t>TKR0220</t>
  </si>
  <si>
    <t>TKR0221</t>
  </si>
  <si>
    <t>TKR0222</t>
  </si>
  <si>
    <t>TKR0223</t>
  </si>
  <si>
    <t>TKR0224</t>
  </si>
  <si>
    <t>TKR0225</t>
  </si>
  <si>
    <t>TKR0226</t>
  </si>
  <si>
    <t>TKR0227</t>
  </si>
  <si>
    <t>TKR0228</t>
  </si>
  <si>
    <t>TKR0229</t>
  </si>
  <si>
    <t>TKR0230</t>
  </si>
  <si>
    <t>TKR0231</t>
  </si>
  <si>
    <t>TKR0232</t>
  </si>
  <si>
    <t>TKR0233</t>
  </si>
  <si>
    <t>TKR0234</t>
  </si>
  <si>
    <t>TKR0235</t>
  </si>
  <si>
    <t>TKR0236</t>
  </si>
  <si>
    <t>TKR0237</t>
  </si>
  <si>
    <t>TKR0238</t>
  </si>
  <si>
    <t>TKR0239</t>
  </si>
  <si>
    <t>TKR0240</t>
  </si>
  <si>
    <t>TKR0241</t>
  </si>
  <si>
    <t>TKR0242</t>
  </si>
  <si>
    <t>TKR0243</t>
  </si>
  <si>
    <t>TKR0244</t>
  </si>
  <si>
    <t>TKR0245</t>
  </si>
  <si>
    <t>TKR0246</t>
  </si>
  <si>
    <t>TKR0247</t>
  </si>
  <si>
    <t>TKR0248</t>
  </si>
  <si>
    <t>TKR0249</t>
  </si>
  <si>
    <t>TKR0250</t>
  </si>
  <si>
    <t>TKR0251</t>
  </si>
  <si>
    <t>TKR0252</t>
  </si>
  <si>
    <t>TKR0253</t>
  </si>
  <si>
    <t>TKR0254</t>
  </si>
  <si>
    <t>TKR0255</t>
  </si>
  <si>
    <t>TKR0256</t>
  </si>
  <si>
    <t>TKR0257</t>
  </si>
  <si>
    <t>TKR0258</t>
  </si>
  <si>
    <t>TKR0259</t>
  </si>
  <si>
    <t>TKR0260</t>
  </si>
  <si>
    <t>TKR0261</t>
  </si>
  <si>
    <t>TKR0262</t>
  </si>
  <si>
    <t>TKR0263</t>
  </si>
  <si>
    <t>TKR0264</t>
  </si>
  <si>
    <t>TKR0265</t>
  </si>
  <si>
    <t>TKR0266</t>
  </si>
  <si>
    <t>TKR0267</t>
  </si>
  <si>
    <t>TKR0268</t>
  </si>
  <si>
    <t>TKR0269</t>
  </si>
  <si>
    <t>TKR0270</t>
  </si>
  <si>
    <t>TKR0271</t>
  </si>
  <si>
    <t>TKR0272</t>
  </si>
  <si>
    <t>TKR0273</t>
  </si>
  <si>
    <t>TKR0274</t>
  </si>
  <si>
    <t>TKR0275</t>
  </si>
  <si>
    <t>TKR0276</t>
  </si>
  <si>
    <t>TKR0277</t>
  </si>
  <si>
    <t>TKR0278</t>
  </si>
  <si>
    <t>TKR0279</t>
  </si>
  <si>
    <t>TKR0280</t>
  </si>
  <si>
    <t>TKR0281</t>
  </si>
  <si>
    <t>TKR0282</t>
  </si>
  <si>
    <t>TKR0283</t>
  </si>
  <si>
    <t>TKR0284</t>
  </si>
  <si>
    <t>TKR0285</t>
  </si>
  <si>
    <t>TKR0286</t>
  </si>
  <si>
    <t>TKR0287</t>
  </si>
  <si>
    <t>TKR0288</t>
  </si>
  <si>
    <t>TKR0289</t>
  </si>
  <si>
    <t>TKR0290</t>
  </si>
  <si>
    <t>TKR0291</t>
  </si>
  <si>
    <t>TKR0292</t>
  </si>
  <si>
    <t>TKR0293</t>
  </si>
  <si>
    <t>TKR0294</t>
  </si>
  <si>
    <t>TKR0295</t>
  </si>
  <si>
    <t>TKR0296</t>
  </si>
  <si>
    <t>TKR0297</t>
  </si>
  <si>
    <t>TKR0298</t>
  </si>
  <si>
    <t>TKR0299</t>
  </si>
  <si>
    <t>TKR0300</t>
  </si>
  <si>
    <t>TKR0301</t>
  </si>
  <si>
    <t>TKR0302</t>
  </si>
  <si>
    <t>TKR0303</t>
  </si>
  <si>
    <t>TKR0304</t>
  </si>
  <si>
    <t>TKR0305</t>
  </si>
  <si>
    <t>TKR0306</t>
  </si>
  <si>
    <t>TKR0307</t>
  </si>
  <si>
    <t>TKR0308</t>
  </si>
  <si>
    <t>TKR0309</t>
  </si>
  <si>
    <t>TKR0310</t>
  </si>
  <si>
    <t>TKR0311</t>
  </si>
  <si>
    <t>TKR0312</t>
  </si>
  <si>
    <t>TKR0313</t>
  </si>
  <si>
    <t>TKR0314</t>
  </si>
  <si>
    <t>TKR0315</t>
  </si>
  <si>
    <t>TKR0316</t>
  </si>
  <si>
    <t>TKR0317</t>
  </si>
  <si>
    <t>TKR0318</t>
  </si>
  <si>
    <t>TKR0319</t>
  </si>
  <si>
    <t>TKR0320</t>
  </si>
  <si>
    <t>TKR0321</t>
  </si>
  <si>
    <t>TKR0322</t>
  </si>
  <si>
    <t>TKR0323</t>
  </si>
  <si>
    <t>TKR0324</t>
  </si>
  <si>
    <t>TKR0325</t>
  </si>
  <si>
    <t>TKR0326</t>
  </si>
  <si>
    <t>TKR0327</t>
  </si>
  <si>
    <t>TKR0328</t>
  </si>
  <si>
    <t>TKR0329</t>
  </si>
  <si>
    <t>TKR0330</t>
  </si>
  <si>
    <t>TKR0331</t>
  </si>
  <si>
    <t>TKR0332</t>
  </si>
  <si>
    <t>TKR0333</t>
  </si>
  <si>
    <t>TKR0334</t>
  </si>
  <si>
    <t>TKR0335</t>
  </si>
  <si>
    <t>TKR0336</t>
  </si>
  <si>
    <t>TKR0337</t>
  </si>
  <si>
    <t>TKR0338</t>
  </si>
  <si>
    <t>TKR0339</t>
  </si>
  <si>
    <t>TKR0340</t>
  </si>
  <si>
    <t>TKR0341</t>
  </si>
  <si>
    <t>TKR0342</t>
  </si>
  <si>
    <t>TKR0343</t>
  </si>
  <si>
    <t>TKR0344</t>
  </si>
  <si>
    <t>TKR0345</t>
  </si>
  <si>
    <t>TKR0346</t>
  </si>
  <si>
    <t>TKR0347</t>
  </si>
  <si>
    <t>TKR0348</t>
  </si>
  <si>
    <t>TKR0349</t>
  </si>
  <si>
    <t>TKR0350</t>
  </si>
  <si>
    <t>TKR0351</t>
  </si>
  <si>
    <t>TKR0352</t>
  </si>
  <si>
    <t>TKR0353</t>
  </si>
  <si>
    <t>TKR0354</t>
  </si>
  <si>
    <t>TKR0355</t>
  </si>
  <si>
    <t>TKR0356</t>
  </si>
  <si>
    <t>TKR0357</t>
  </si>
  <si>
    <t>TKR0358</t>
  </si>
  <si>
    <t>TKR0359</t>
  </si>
  <si>
    <t>TKR0360</t>
  </si>
  <si>
    <t>TKR0361</t>
  </si>
  <si>
    <t>TKR0362</t>
  </si>
  <si>
    <t>TKR0363</t>
  </si>
  <si>
    <t>TKR0364</t>
  </si>
  <si>
    <t>TKR0365</t>
  </si>
  <si>
    <t>TKR0366</t>
  </si>
  <si>
    <t>TKR0367</t>
  </si>
  <si>
    <t>TKR0368</t>
  </si>
  <si>
    <t>TKR0369</t>
  </si>
  <si>
    <t>TKR0370</t>
  </si>
  <si>
    <t>TKR0371</t>
  </si>
  <si>
    <t>TKR0372</t>
  </si>
  <si>
    <t>TKR0373</t>
  </si>
  <si>
    <t>TKR0374</t>
  </si>
  <si>
    <t>TKR0375</t>
  </si>
  <si>
    <t>TKR0376</t>
  </si>
  <si>
    <t>TKR0377</t>
  </si>
  <si>
    <t>TKR0378</t>
  </si>
  <si>
    <t>TKR0379</t>
  </si>
  <si>
    <t>TKR0380</t>
  </si>
  <si>
    <t>TKR0381</t>
  </si>
  <si>
    <t>TKR0382</t>
  </si>
  <si>
    <t>TKR0383</t>
  </si>
  <si>
    <t>TKR0384</t>
  </si>
  <si>
    <t>TKR0385</t>
  </si>
  <si>
    <t>TKR0386</t>
  </si>
  <si>
    <t>TKR0387</t>
  </si>
  <si>
    <t>TKR0388</t>
  </si>
  <si>
    <t>TKR0389</t>
  </si>
  <si>
    <t>TKR0390</t>
  </si>
  <si>
    <t>TKR0391</t>
  </si>
  <si>
    <t>TKR0392</t>
  </si>
  <si>
    <t>TKR0393</t>
  </si>
  <si>
    <t>TKR0394</t>
  </si>
  <si>
    <t>TKR0395</t>
  </si>
  <si>
    <t>TKR0396</t>
  </si>
  <si>
    <t>TKR0397</t>
  </si>
  <si>
    <t>TKR0398</t>
  </si>
  <si>
    <t>TKR0399</t>
  </si>
  <si>
    <t>TKR0400</t>
  </si>
  <si>
    <t>TKR0401</t>
  </si>
  <si>
    <t>TKR0402</t>
  </si>
  <si>
    <t>TKR0403</t>
  </si>
  <si>
    <t>TKR0404</t>
  </si>
  <si>
    <t>TKR0405</t>
  </si>
  <si>
    <t>TKR0406</t>
  </si>
  <si>
    <t>TKR0407</t>
  </si>
  <si>
    <t>TKR0408</t>
  </si>
  <si>
    <t>TKR0409</t>
  </si>
  <si>
    <t>TKR0410</t>
  </si>
  <si>
    <t>TKR0411</t>
  </si>
  <si>
    <t>TKR0412</t>
  </si>
  <si>
    <t>TKR0413</t>
  </si>
  <si>
    <t>TKR0414</t>
  </si>
  <si>
    <t>TKR0415</t>
  </si>
  <si>
    <t>TKR0416</t>
  </si>
  <si>
    <t>TKR0417</t>
  </si>
  <si>
    <t>TKR0418</t>
  </si>
  <si>
    <t>TKR0419</t>
  </si>
  <si>
    <t>TKR0420</t>
  </si>
  <si>
    <t>TKR0421</t>
  </si>
  <si>
    <t>TKR0422</t>
  </si>
  <si>
    <t>TKR0423</t>
  </si>
  <si>
    <t>TKR0424</t>
  </si>
  <si>
    <t>TKR0425</t>
  </si>
  <si>
    <t>TKR0426</t>
  </si>
  <si>
    <t>TKR0427</t>
  </si>
  <si>
    <t>TKR0428</t>
  </si>
  <si>
    <t>TKR0429</t>
  </si>
  <si>
    <t>TKR0430</t>
  </si>
  <si>
    <t>TKR0431</t>
  </si>
  <si>
    <t>TKR0432</t>
  </si>
  <si>
    <t>TKR0433</t>
  </si>
  <si>
    <t>TKR0434</t>
  </si>
  <si>
    <t>TKR0435</t>
  </si>
  <si>
    <t>TKR0436</t>
  </si>
  <si>
    <t>TKR0437</t>
  </si>
  <si>
    <t>TKR0438</t>
  </si>
  <si>
    <t>TKR0439</t>
  </si>
  <si>
    <t>TKR0440</t>
  </si>
  <si>
    <t>TKR0441</t>
  </si>
  <si>
    <t>TKR0442</t>
  </si>
  <si>
    <t>TKR0443</t>
  </si>
  <si>
    <t>TKR0444</t>
  </si>
  <si>
    <t>TKR0445</t>
  </si>
  <si>
    <t>TKR0446</t>
  </si>
  <si>
    <t>TKR0447</t>
  </si>
  <si>
    <t>TKR0448</t>
  </si>
  <si>
    <t>TKR0449</t>
  </si>
  <si>
    <t>TKR0450</t>
  </si>
  <si>
    <t>TKR0451</t>
  </si>
  <si>
    <t>TKR0452</t>
  </si>
  <si>
    <t>TKR0453</t>
  </si>
  <si>
    <t>TKR0454</t>
  </si>
  <si>
    <t>TKR0455</t>
  </si>
  <si>
    <t>TKR0456</t>
  </si>
  <si>
    <t>TKR0457</t>
  </si>
  <si>
    <t>TKR0458</t>
  </si>
  <si>
    <t>TKR0459</t>
  </si>
  <si>
    <t>TKR0460</t>
  </si>
  <si>
    <t>TKR0461</t>
  </si>
  <si>
    <t>TKR0462</t>
  </si>
  <si>
    <t>TKR0463</t>
  </si>
  <si>
    <t>TKR0464</t>
  </si>
  <si>
    <t>TKR0465</t>
  </si>
  <si>
    <t>TKR0466</t>
  </si>
  <si>
    <t>TKR0467</t>
  </si>
  <si>
    <t>TKR0468</t>
  </si>
  <si>
    <t>TKR0469</t>
  </si>
  <si>
    <t>TKR0470</t>
  </si>
  <si>
    <t>TKR0471</t>
  </si>
  <si>
    <t>TKR0472</t>
  </si>
  <si>
    <t>TKR0473</t>
  </si>
  <si>
    <t>TKR0474</t>
  </si>
  <si>
    <t>TKR0475</t>
  </si>
  <si>
    <t>TKR0476</t>
  </si>
  <si>
    <t>TKR0477</t>
  </si>
  <si>
    <t>TKR0478</t>
  </si>
  <si>
    <t>TKR0479</t>
  </si>
  <si>
    <t>TKR0480</t>
  </si>
  <si>
    <t>TKR0481</t>
  </si>
  <si>
    <t>TKR0482</t>
  </si>
  <si>
    <t>TKR0483</t>
  </si>
  <si>
    <t>TKR0484</t>
  </si>
  <si>
    <t>TKR0485</t>
  </si>
  <si>
    <t>TKR0486</t>
  </si>
  <si>
    <t>TKR0487</t>
  </si>
  <si>
    <t>TKR0488</t>
  </si>
  <si>
    <t>TKR0489</t>
  </si>
  <si>
    <t>TKR0490</t>
  </si>
  <si>
    <t>TKR0491</t>
  </si>
  <si>
    <t>TKR0492</t>
  </si>
  <si>
    <t>TKR0493</t>
  </si>
  <si>
    <t>TKR0494</t>
  </si>
  <si>
    <t>TKR0495</t>
  </si>
  <si>
    <t>TKR0496</t>
  </si>
  <si>
    <t>TKR0497</t>
  </si>
  <si>
    <t>TKR0498</t>
  </si>
  <si>
    <t>TKR0499</t>
  </si>
  <si>
    <t>TKR0500</t>
  </si>
  <si>
    <t>TKR0501</t>
  </si>
  <si>
    <t>TKR0502</t>
  </si>
  <si>
    <t>TKR0503</t>
  </si>
  <si>
    <t>TKR0504</t>
  </si>
  <si>
    <t>TKR0505</t>
  </si>
  <si>
    <t>TKR0506</t>
  </si>
  <si>
    <t>TKR0507</t>
  </si>
  <si>
    <t>TKR0508</t>
  </si>
  <si>
    <t>TKR0509</t>
  </si>
  <si>
    <t>TKR0510</t>
  </si>
  <si>
    <t>TKR0511</t>
  </si>
  <si>
    <t>TKR0512</t>
  </si>
  <si>
    <t>TKR0513</t>
  </si>
  <si>
    <t>TKR0514</t>
  </si>
  <si>
    <t>TKR0515</t>
  </si>
  <si>
    <t>TKR0516</t>
  </si>
  <si>
    <t>TKR0517</t>
  </si>
  <si>
    <t>TKR0518</t>
  </si>
  <si>
    <t>TKR0519</t>
  </si>
  <si>
    <t>TKR0520</t>
  </si>
  <si>
    <t>TKR0521</t>
  </si>
  <si>
    <t>TKR0522</t>
  </si>
  <si>
    <t>TKR0523</t>
  </si>
  <si>
    <t>TKR0524</t>
  </si>
  <si>
    <t>TKR0525</t>
  </si>
  <si>
    <t>TKR0526</t>
  </si>
  <si>
    <t>TKR0527</t>
  </si>
  <si>
    <t>TKR0528</t>
  </si>
  <si>
    <t>TKR0529</t>
  </si>
  <si>
    <t>TKR0530</t>
  </si>
  <si>
    <t>TKR0531</t>
  </si>
  <si>
    <t>TKR0532</t>
  </si>
  <si>
    <t>TKR0533</t>
  </si>
  <si>
    <t>TKR0534</t>
  </si>
  <si>
    <t>TKR0535</t>
  </si>
  <si>
    <t>TKR0536</t>
  </si>
  <si>
    <t>TKR0537</t>
  </si>
  <si>
    <t>TKR0538</t>
  </si>
  <si>
    <t>TKR0539</t>
  </si>
  <si>
    <t>TKR0540</t>
  </si>
  <si>
    <t>TKR0541</t>
  </si>
  <si>
    <t>TKR0542</t>
  </si>
  <si>
    <t>TKR0543</t>
  </si>
  <si>
    <t>TKR0544</t>
  </si>
  <si>
    <t>TKR0545</t>
  </si>
  <si>
    <t>TKR0546</t>
  </si>
  <si>
    <t>TKR0547</t>
  </si>
  <si>
    <t>TKR0548</t>
  </si>
  <si>
    <t>TKR0549</t>
  </si>
  <si>
    <t>TKR0550</t>
  </si>
  <si>
    <t>TKR0551</t>
  </si>
  <si>
    <t>TKR0552</t>
  </si>
  <si>
    <t>TKR0553</t>
  </si>
  <si>
    <t>TKR0554</t>
  </si>
  <si>
    <t>TKR0555</t>
  </si>
  <si>
    <t>TKR0556</t>
  </si>
  <si>
    <t>TKR0557</t>
  </si>
  <si>
    <t>TKR0558</t>
  </si>
  <si>
    <t>TKR0559</t>
  </si>
  <si>
    <t>TKR0560</t>
  </si>
  <si>
    <t>TKR0561</t>
  </si>
  <si>
    <t>TKR0562</t>
  </si>
  <si>
    <t>TKR0563</t>
  </si>
  <si>
    <t>TKR0564</t>
  </si>
  <si>
    <t>TKR0565</t>
  </si>
  <si>
    <t>TKR0566</t>
  </si>
  <si>
    <t>TKR0567</t>
  </si>
  <si>
    <t>TKR0568</t>
  </si>
  <si>
    <t>TKR0569</t>
  </si>
  <si>
    <t>TKR0570</t>
  </si>
  <si>
    <t>TKR0571</t>
  </si>
  <si>
    <t>TKR0572</t>
  </si>
  <si>
    <t>TKR0573</t>
  </si>
  <si>
    <t>TKR0574</t>
  </si>
  <si>
    <t>TKR0575</t>
  </si>
  <si>
    <t>TKR0576</t>
  </si>
  <si>
    <t>TKR0577</t>
  </si>
  <si>
    <t>TKR0578</t>
  </si>
  <si>
    <t>TKR0579</t>
  </si>
  <si>
    <t>TKR0580</t>
  </si>
  <si>
    <t>TKR0581</t>
  </si>
  <si>
    <t>TKR0582</t>
  </si>
  <si>
    <t>TKR0583</t>
  </si>
  <si>
    <t>TKR0584</t>
  </si>
  <si>
    <t>TKR0585</t>
  </si>
  <si>
    <t>TKR0586</t>
  </si>
  <si>
    <t>TKR0587</t>
  </si>
  <si>
    <t>TKR0588</t>
  </si>
  <si>
    <t>TKR0589</t>
  </si>
  <si>
    <t>TKR0590</t>
  </si>
  <si>
    <t>TKR0591</t>
  </si>
  <si>
    <t>TKR0592</t>
  </si>
  <si>
    <t>TKR0593</t>
  </si>
  <si>
    <t>TKR0594</t>
  </si>
  <si>
    <t>TKR0595</t>
  </si>
  <si>
    <t>TKR0596</t>
  </si>
  <si>
    <t>TKR0597</t>
  </si>
  <si>
    <t>TKR0598</t>
  </si>
  <si>
    <t>TKR0599</t>
  </si>
  <si>
    <t>TKR0600</t>
  </si>
  <si>
    <t>TKR0601</t>
  </si>
  <si>
    <t>TKR0602</t>
  </si>
  <si>
    <t>TKR0603</t>
  </si>
  <si>
    <t>TKR0604</t>
  </si>
  <si>
    <t>TKR0605</t>
  </si>
  <si>
    <t>TKR0606</t>
  </si>
  <si>
    <t>TKR0607</t>
  </si>
  <si>
    <t>TKR0608</t>
  </si>
  <si>
    <t>TKR0609</t>
  </si>
  <si>
    <t>TKR0610</t>
  </si>
  <si>
    <t>TKR0611</t>
  </si>
  <si>
    <t>TKR0612</t>
  </si>
  <si>
    <t>TKR0613</t>
  </si>
  <si>
    <t>TKR0614</t>
  </si>
  <si>
    <t>TKR0615</t>
  </si>
  <si>
    <t>TKR0616</t>
  </si>
  <si>
    <t>TKR0617</t>
  </si>
  <si>
    <t>TKR0618</t>
  </si>
  <si>
    <t>TKR0619</t>
  </si>
  <si>
    <t>TKR0620</t>
  </si>
  <si>
    <t>TKR0621</t>
  </si>
  <si>
    <t>TKR0622</t>
  </si>
  <si>
    <t>TKR0623</t>
  </si>
  <si>
    <t>TKR0624</t>
  </si>
  <si>
    <t>TKR0625</t>
  </si>
  <si>
    <t>TKR0626</t>
  </si>
  <si>
    <t>TKR0627</t>
  </si>
  <si>
    <t>TKR0628</t>
  </si>
  <si>
    <t>TKR0629</t>
  </si>
  <si>
    <t>TKR0630</t>
  </si>
  <si>
    <t>TKR0631</t>
  </si>
  <si>
    <t>TKR0632</t>
  </si>
  <si>
    <t>TKR0633</t>
  </si>
  <si>
    <t>TKR0634</t>
  </si>
  <si>
    <t>TKR0635</t>
  </si>
  <si>
    <t>TKR0636</t>
  </si>
  <si>
    <t>TKR0637</t>
  </si>
  <si>
    <t>TKR0638</t>
  </si>
  <si>
    <t>TKR0639</t>
  </si>
  <si>
    <t>TKR0640</t>
  </si>
  <si>
    <t>TKR0641</t>
  </si>
  <si>
    <t>TKR0642</t>
  </si>
  <si>
    <t>TKR0643</t>
  </si>
  <si>
    <t>TKR0644</t>
  </si>
  <si>
    <t>TKR0645</t>
  </si>
  <si>
    <t>TKR0646</t>
  </si>
  <si>
    <t>TKR0647</t>
  </si>
  <si>
    <t>TKR0648</t>
  </si>
  <si>
    <t>TKR0649</t>
  </si>
  <si>
    <t>TKR0650</t>
  </si>
  <si>
    <t>TKR0651</t>
  </si>
  <si>
    <t>TKR0652</t>
  </si>
  <si>
    <t>TKR0653</t>
  </si>
  <si>
    <t>TKR0654</t>
  </si>
  <si>
    <t>TKR0655</t>
  </si>
  <si>
    <t>TKR0656</t>
  </si>
  <si>
    <t>TKR0657</t>
  </si>
  <si>
    <t>TKR0658</t>
  </si>
  <si>
    <t>TKR0659</t>
  </si>
  <si>
    <t>TKR0660</t>
  </si>
  <si>
    <t>TKR0661</t>
  </si>
  <si>
    <t>TKR0662</t>
  </si>
  <si>
    <t>TKR0663</t>
  </si>
  <si>
    <t>TKR0664</t>
  </si>
  <si>
    <t>TKR0665</t>
  </si>
  <si>
    <t>TKR0666</t>
  </si>
  <si>
    <t>TKR0667</t>
  </si>
  <si>
    <t>TKR0668</t>
  </si>
  <si>
    <t>TKR0669</t>
  </si>
  <si>
    <t>TKR0670</t>
  </si>
  <si>
    <t>TKR0671</t>
  </si>
  <si>
    <t>TKR0672</t>
  </si>
  <si>
    <t>TKR0673</t>
  </si>
  <si>
    <t>TKR0674</t>
  </si>
  <si>
    <t>TKR0675</t>
  </si>
  <si>
    <t>TKR0676</t>
  </si>
  <si>
    <t>TKR0677</t>
  </si>
  <si>
    <t>TKR0678</t>
  </si>
  <si>
    <t>TKR0679</t>
  </si>
  <si>
    <t>TKR0680</t>
  </si>
  <si>
    <t>TKR0681</t>
  </si>
  <si>
    <t>TKR0682</t>
  </si>
  <si>
    <t>TKR0683</t>
  </si>
  <si>
    <t>TKR0684</t>
  </si>
  <si>
    <t>TKR0685</t>
  </si>
  <si>
    <t>TKR0686</t>
  </si>
  <si>
    <t>TKR0687</t>
  </si>
  <si>
    <t>TKR0688</t>
  </si>
  <si>
    <t>TKR0689</t>
  </si>
  <si>
    <t>TKR0690</t>
  </si>
  <si>
    <t>TKR0691</t>
  </si>
  <si>
    <t>TKR0692</t>
  </si>
  <si>
    <t>TKR0693</t>
  </si>
  <si>
    <t>TKR0694</t>
  </si>
  <si>
    <t>TKR0695</t>
  </si>
  <si>
    <t>TKR0696</t>
  </si>
  <si>
    <t>TKR0697</t>
  </si>
  <si>
    <t>TKR0698</t>
  </si>
  <si>
    <t>TKR0699</t>
  </si>
  <si>
    <t>TKR0700</t>
  </si>
  <si>
    <t>TKR0701</t>
  </si>
  <si>
    <t>TKR0702</t>
  </si>
  <si>
    <t>TKR0703</t>
  </si>
  <si>
    <t>TKR0704</t>
  </si>
  <si>
    <t>TKR0705</t>
  </si>
  <si>
    <t>TKR0706</t>
  </si>
  <si>
    <t>TKR0707</t>
  </si>
  <si>
    <t>TKR0708</t>
  </si>
  <si>
    <t>TKR0709</t>
  </si>
  <si>
    <t>TKR0710</t>
  </si>
  <si>
    <t>TKR0711</t>
  </si>
  <si>
    <t>TKR0712</t>
  </si>
  <si>
    <t>TKR0713</t>
  </si>
  <si>
    <t>TKR0714</t>
  </si>
  <si>
    <t>TKR0715</t>
  </si>
  <si>
    <t>TKR0716</t>
  </si>
  <si>
    <t>TKR0717</t>
  </si>
  <si>
    <t>TKR0718</t>
  </si>
  <si>
    <t>TKR0719</t>
  </si>
  <si>
    <t>TKR0720</t>
  </si>
  <si>
    <t>TKR0721</t>
  </si>
  <si>
    <t>TKR0722</t>
  </si>
  <si>
    <t>TKR0723</t>
  </si>
  <si>
    <t>TKR0724</t>
  </si>
  <si>
    <t>TKR0725</t>
  </si>
  <si>
    <t>TKR0726</t>
  </si>
  <si>
    <t>TKR0727</t>
  </si>
  <si>
    <t>TKR0728</t>
  </si>
  <si>
    <t>TKR0729</t>
  </si>
  <si>
    <t>TKR0730</t>
  </si>
  <si>
    <t>TKR0731</t>
  </si>
  <si>
    <t>TKR0732</t>
  </si>
  <si>
    <t>TKR0733</t>
  </si>
  <si>
    <t>TKR0734</t>
  </si>
  <si>
    <t>TKR0735</t>
  </si>
  <si>
    <t>TKR0736</t>
  </si>
  <si>
    <t>TKR0737</t>
  </si>
  <si>
    <t>TKR0738</t>
  </si>
  <si>
    <t>TKR0739</t>
  </si>
  <si>
    <t>TKR0740</t>
  </si>
  <si>
    <t>TKR0741</t>
  </si>
  <si>
    <t>TKR0742</t>
  </si>
  <si>
    <t>TKR0743</t>
  </si>
  <si>
    <t>TKR0744</t>
  </si>
  <si>
    <t>TKR0745</t>
  </si>
  <si>
    <t>TKR0746</t>
  </si>
  <si>
    <t>TKR0747</t>
  </si>
  <si>
    <t>TKR0748</t>
  </si>
  <si>
    <t>TKR0749</t>
  </si>
  <si>
    <t>TKR0750</t>
  </si>
  <si>
    <t>TKR0751</t>
  </si>
  <si>
    <t>TKR0752</t>
  </si>
  <si>
    <t>TKR0753</t>
  </si>
  <si>
    <t>TKR0754</t>
  </si>
  <si>
    <t>TKR0755</t>
  </si>
  <si>
    <t>TKR0756</t>
  </si>
  <si>
    <t>TKR0757</t>
  </si>
  <si>
    <t>TKR0758</t>
  </si>
  <si>
    <t>TKR0759</t>
  </si>
  <si>
    <t>TKR0760</t>
  </si>
  <si>
    <t>TKR0761</t>
  </si>
  <si>
    <t>TKR0762</t>
  </si>
  <si>
    <t>TKR0763</t>
  </si>
  <si>
    <t>TKR0764</t>
  </si>
  <si>
    <t>TKR0765</t>
  </si>
  <si>
    <t>TKR0766</t>
  </si>
  <si>
    <t>TKR0767</t>
  </si>
  <si>
    <t>TKR0768</t>
  </si>
  <si>
    <t>TKR0769</t>
  </si>
  <si>
    <t>TKR0770</t>
  </si>
  <si>
    <t>TKR0771</t>
  </si>
  <si>
    <t>TKR0772</t>
  </si>
  <si>
    <t>TKR0773</t>
  </si>
  <si>
    <t>TKR0774</t>
  </si>
  <si>
    <t>TKR0775</t>
  </si>
  <si>
    <t>TKR0776</t>
  </si>
  <si>
    <t>TKR0777</t>
  </si>
  <si>
    <t>TKR0778</t>
  </si>
  <si>
    <t>TKR0779</t>
  </si>
  <si>
    <t>TKR0780</t>
  </si>
  <si>
    <t>TKR0781</t>
  </si>
  <si>
    <t>TKR0782</t>
  </si>
  <si>
    <t>TKR0783</t>
  </si>
  <si>
    <t>TKR0784</t>
  </si>
  <si>
    <t>TKR0785</t>
  </si>
  <si>
    <t>TKR0786</t>
  </si>
  <si>
    <t>TKR0787</t>
  </si>
  <si>
    <t>TKR0788</t>
  </si>
  <si>
    <t>TKR0789</t>
  </si>
  <si>
    <t>TKR0790</t>
  </si>
  <si>
    <t>TKR0791</t>
  </si>
  <si>
    <t>TKR0792</t>
  </si>
  <si>
    <t>TKR0793</t>
  </si>
  <si>
    <t>TKR0794</t>
  </si>
  <si>
    <t>TKR0795</t>
  </si>
  <si>
    <t>TKR0796</t>
  </si>
  <si>
    <t>TKR0797</t>
  </si>
  <si>
    <t>TKR0798</t>
  </si>
  <si>
    <t>TKR0799</t>
  </si>
  <si>
    <t>TKR0800</t>
  </si>
  <si>
    <t>TKR0801</t>
  </si>
  <si>
    <t>TKR0802</t>
  </si>
  <si>
    <t>TKR0803</t>
  </si>
  <si>
    <t>TKR0804</t>
  </si>
  <si>
    <t>TKR0805</t>
  </si>
  <si>
    <t>TKR0806</t>
  </si>
  <si>
    <t>TKR0807</t>
  </si>
  <si>
    <t>TKR0808</t>
  </si>
  <si>
    <t>TKR0809</t>
  </si>
  <si>
    <t>TKR0810</t>
  </si>
  <si>
    <t>TKR0811</t>
  </si>
  <si>
    <t>TKR0812</t>
  </si>
  <si>
    <t>TKR0813</t>
  </si>
  <si>
    <t>TKR0814</t>
  </si>
  <si>
    <t>TKR0815</t>
  </si>
  <si>
    <t>TKR0816</t>
  </si>
  <si>
    <t>TKR0817</t>
  </si>
  <si>
    <t>TKR0818</t>
  </si>
  <si>
    <t>TKR0819</t>
  </si>
  <si>
    <t>TKR0820</t>
  </si>
  <si>
    <t>TKR0821</t>
  </si>
  <si>
    <t>TKR0822</t>
  </si>
  <si>
    <t>TKR0823</t>
  </si>
  <si>
    <t>TKR0824</t>
  </si>
  <si>
    <t>TKR0825</t>
  </si>
  <si>
    <t>TKR0826</t>
  </si>
  <si>
    <t>TKR0827</t>
  </si>
  <si>
    <t>TKR0828</t>
  </si>
  <si>
    <t>TKR0829</t>
  </si>
  <si>
    <t>TKR0830</t>
  </si>
  <si>
    <t>TKR0831</t>
  </si>
  <si>
    <t>TKR0832</t>
  </si>
  <si>
    <t>TKR0833</t>
  </si>
  <si>
    <t>TKR0834</t>
  </si>
  <si>
    <t>TKR0835</t>
  </si>
  <si>
    <t>TKR0836</t>
  </si>
  <si>
    <t>TKR0837</t>
  </si>
  <si>
    <t>TKR0838</t>
  </si>
  <si>
    <t>TKR0839</t>
  </si>
  <si>
    <t>TKR0840</t>
  </si>
  <si>
    <t>TKR0841</t>
  </si>
  <si>
    <t>TKR0842</t>
  </si>
  <si>
    <t>TKR0843</t>
  </si>
  <si>
    <t>TKR0844</t>
  </si>
  <si>
    <t>TKR0845</t>
  </si>
  <si>
    <t>TKR0846</t>
  </si>
  <si>
    <t>TKR0847</t>
  </si>
  <si>
    <t>TKR0848</t>
  </si>
  <si>
    <t>TKR0849</t>
  </si>
  <si>
    <t>TKR0850</t>
  </si>
  <si>
    <t>TKR0851</t>
  </si>
  <si>
    <t>TKR0852</t>
  </si>
  <si>
    <t>TKR0853</t>
  </si>
  <si>
    <t>TKR0854</t>
  </si>
  <si>
    <t>TKR0855</t>
  </si>
  <si>
    <t>TKR0856</t>
  </si>
  <si>
    <t>TKR0857</t>
  </si>
  <si>
    <t>TKR0858</t>
  </si>
  <si>
    <t>TKR0859</t>
  </si>
  <si>
    <t>TKR0860</t>
  </si>
  <si>
    <t>TKR0861</t>
  </si>
  <si>
    <t>TKR0862</t>
  </si>
  <si>
    <t>TKR0863</t>
  </si>
  <si>
    <t>TKR0864</t>
  </si>
  <si>
    <t>TKR0865</t>
  </si>
  <si>
    <t>TKR0866</t>
  </si>
  <si>
    <t>TKR0867</t>
  </si>
  <si>
    <t>TKR0868</t>
  </si>
  <si>
    <t>TKR0869</t>
  </si>
  <si>
    <t>TKR0870</t>
  </si>
  <si>
    <t>TKR0871</t>
  </si>
  <si>
    <t>TKR0872</t>
  </si>
  <si>
    <t>TKR0873</t>
  </si>
  <si>
    <t>TKR0874</t>
  </si>
  <si>
    <t>TKR0875</t>
  </si>
  <si>
    <t>TKR0876</t>
  </si>
  <si>
    <t>TKR0877</t>
  </si>
  <si>
    <t>TKR0878</t>
  </si>
  <si>
    <t>TKR0879</t>
  </si>
  <si>
    <t>TKR0880</t>
  </si>
  <si>
    <t>TKR0881</t>
  </si>
  <si>
    <t>TKR0882</t>
  </si>
  <si>
    <t>TKR0883</t>
  </si>
  <si>
    <t>TKR0884</t>
  </si>
  <si>
    <t>TKR0885</t>
  </si>
  <si>
    <t>TKR0886</t>
  </si>
  <si>
    <t>TKR0887</t>
  </si>
  <si>
    <t>TKR0888</t>
  </si>
  <si>
    <t>TKR0889</t>
  </si>
  <si>
    <t>TKR0890</t>
  </si>
  <si>
    <t>TKR0891</t>
  </si>
  <si>
    <t>TKR0892</t>
  </si>
  <si>
    <t>TKR0893</t>
  </si>
  <si>
    <t>TKR0894</t>
  </si>
  <si>
    <t>TKR0895</t>
  </si>
  <si>
    <t>TKR0896</t>
  </si>
  <si>
    <t>TKR0897</t>
  </si>
  <si>
    <t>TKR0898</t>
  </si>
  <si>
    <t>TKR0899</t>
  </si>
  <si>
    <t>TKR0900</t>
  </si>
  <si>
    <t>TKR0901</t>
  </si>
  <si>
    <t>TKR0902</t>
  </si>
  <si>
    <t>TKR0903</t>
  </si>
  <si>
    <t>TKR0904</t>
  </si>
  <si>
    <t>TKR0905</t>
  </si>
  <si>
    <t>TKR0906</t>
  </si>
  <si>
    <t>TKR0907</t>
  </si>
  <si>
    <t>TKR0908</t>
  </si>
  <si>
    <t>TKR0909</t>
  </si>
  <si>
    <t>TKR0910</t>
  </si>
  <si>
    <t>TKR0911</t>
  </si>
  <si>
    <t>TKR0912</t>
  </si>
  <si>
    <t>TKR0913</t>
  </si>
  <si>
    <t>TKR0914</t>
  </si>
  <si>
    <t>TKR0915</t>
  </si>
  <si>
    <t>TKR0916</t>
  </si>
  <si>
    <t>TKR0917</t>
  </si>
  <si>
    <t>TKR0918</t>
  </si>
  <si>
    <t>TKR0919</t>
  </si>
  <si>
    <t>TKR0920</t>
  </si>
  <si>
    <t>TKR0921</t>
  </si>
  <si>
    <t>TKR0922</t>
  </si>
  <si>
    <t>TKR0923</t>
  </si>
  <si>
    <t>TKR0924</t>
  </si>
  <si>
    <t>TKR0925</t>
  </si>
  <si>
    <t>TKR0926</t>
  </si>
  <si>
    <t>TKR0927</t>
  </si>
  <si>
    <t>TKR0928</t>
  </si>
  <si>
    <t>TKR0929</t>
  </si>
  <si>
    <t>TKR0930</t>
  </si>
  <si>
    <t>TKR0931</t>
  </si>
  <si>
    <t>TKR0932</t>
  </si>
  <si>
    <t>TKR0933</t>
  </si>
  <si>
    <t>TKR0934</t>
  </si>
  <si>
    <t>TKR0935</t>
  </si>
  <si>
    <t>TKR0936</t>
  </si>
  <si>
    <t>TKR0937</t>
  </si>
  <si>
    <t>TKR0938</t>
  </si>
  <si>
    <t>TKR0939</t>
  </si>
  <si>
    <t>TKR0940</t>
  </si>
  <si>
    <t>TKR0941</t>
  </si>
  <si>
    <t>TKR0942</t>
  </si>
  <si>
    <t>TKR0943</t>
  </si>
  <si>
    <t>TKR0944</t>
  </si>
  <si>
    <t>TKR0945</t>
  </si>
  <si>
    <t>TKR0946</t>
  </si>
  <si>
    <t>TKR0947</t>
  </si>
  <si>
    <t>TKR0948</t>
  </si>
  <si>
    <t>TKR0949</t>
  </si>
  <si>
    <t>TKR0950</t>
  </si>
  <si>
    <t>TKR0951</t>
  </si>
  <si>
    <t>TKR0952</t>
  </si>
  <si>
    <t>TKR0953</t>
  </si>
  <si>
    <t>TKR0954</t>
  </si>
  <si>
    <t>TKR0955</t>
  </si>
  <si>
    <t>TKR0956</t>
  </si>
  <si>
    <t>TKR0957</t>
  </si>
  <si>
    <t>TKR0958</t>
  </si>
  <si>
    <t>TKR0959</t>
  </si>
  <si>
    <t>TKR0960</t>
  </si>
  <si>
    <t>TKR0961</t>
  </si>
  <si>
    <t>TKR0962</t>
  </si>
  <si>
    <t>TKR0963</t>
  </si>
  <si>
    <t>TKR0964</t>
  </si>
  <si>
    <t>TKR0965</t>
  </si>
  <si>
    <t>TKR0966</t>
  </si>
  <si>
    <t>TKR0967</t>
  </si>
  <si>
    <t>TKR0968</t>
  </si>
  <si>
    <t>TKR0969</t>
  </si>
  <si>
    <t>TKR0970</t>
  </si>
  <si>
    <t>TKR0971</t>
  </si>
  <si>
    <t>TKR0972</t>
  </si>
  <si>
    <t>TKR0973</t>
  </si>
  <si>
    <t>TKR0974</t>
  </si>
  <si>
    <t>TKR0975</t>
  </si>
  <si>
    <t>TKR0976</t>
  </si>
  <si>
    <t>TKR0977</t>
  </si>
  <si>
    <t>TKR0978</t>
  </si>
  <si>
    <t>TKR0979</t>
  </si>
  <si>
    <t>TKR0980</t>
  </si>
  <si>
    <t>TKR0981</t>
  </si>
  <si>
    <t>TKR0982</t>
  </si>
  <si>
    <t>TKR0983</t>
  </si>
  <si>
    <t>TKR0984</t>
  </si>
  <si>
    <t>TKR0985</t>
  </si>
  <si>
    <t>TKR0986</t>
  </si>
  <si>
    <t>TKR0987</t>
  </si>
  <si>
    <t>TKR0988</t>
  </si>
  <si>
    <t>TKR0989</t>
  </si>
  <si>
    <t>TKR0990</t>
  </si>
  <si>
    <t>TKR0991</t>
  </si>
  <si>
    <t>TKR0992</t>
  </si>
  <si>
    <t>TKR0993</t>
  </si>
  <si>
    <t>TKR0994</t>
  </si>
  <si>
    <t>TKR0995</t>
  </si>
  <si>
    <t>TKR0996</t>
  </si>
  <si>
    <t>TKR0997</t>
  </si>
  <si>
    <t>TKR0998</t>
  </si>
  <si>
    <t>TKR0999</t>
  </si>
  <si>
    <t>TKR1000</t>
  </si>
  <si>
    <t>PORTFOLIO ANALYTICS REPORT</t>
  </si>
  <si>
    <t>Strumenti aggiornati: 1000</t>
  </si>
  <si>
    <t>Top 5 winners</t>
  </si>
  <si>
    <t>Top 5 losers</t>
  </si>
  <si>
    <t>P&amp;L per Settore</t>
  </si>
  <si>
    <t>P&amp;L totale portafoglio: 8.019,00 Euro</t>
  </si>
  <si>
    <t>Data esecuzione: 01/06/2026 19:48:07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</si>
</sst>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4" formatCode="#,##0.00;[Red]\-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84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9" xfId="0" applyBorder="1"/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right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0" fontId="3" fillId="0" borderId="1" xfId="0" applyFont="1" applyBorder="1" applyAlignment="1">
      <alignment horizontal="right" vertical="center" wrapText="1"/>
    </xf>
    <xf numFmtId="0" fontId="3" fillId="0" borderId="7" xfId="0" applyFont="1" applyBorder="1" applyAlignment="1">
      <alignment vertical="center" wrapText="1"/>
    </xf>
    <xf numFmtId="0" fontId="3" fillId="0" borderId="8" xfId="0" applyFont="1" applyBorder="1" applyAlignment="1">
      <alignment horizontal="right" vertical="center" wrapText="1"/>
    </xf>
    <xf numFmtId="0" fontId="0" fillId="0" borderId="0" xfId="0" applyAlignment="1">
      <alignment horizontal="right"/>
    </xf>
    <xf numFmtId="0" fontId="1" fillId="4" borderId="10" xfId="0" applyFont="1" applyFill="1" applyBorder="1" applyAlignment="1">
      <alignment horizontal="right"/>
    </xf>
    <xf numFmtId="4" fontId="1" fillId="4" borderId="11" xfId="0" applyNumberFormat="1" applyFont="1" applyFill="1" applyBorder="1"/>
    <xf numFmtId="0" fontId="2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40" fontId="3" fillId="0" borderId="6" xfId="0" applyNumberFormat="1" applyFont="1" applyBorder="1" applyAlignment="1">
      <alignment vertical="center" wrapText="1"/>
    </xf>
    <xf numFmtId="40" fontId="3" fillId="0" borderId="9" xfId="0" applyNumberFormat="1" applyFont="1" applyBorder="1"/>
    <xf numFmtId="4" fontId="1" fillId="0" borderId="0" xfId="0" applyNumberFormat="1" applyFont="1"/>
    <xf numFmtId="0" fontId="3" fillId="5" borderId="6" xfId="0" applyFont="1" applyFill="1" applyBorder="1" applyAlignment="1">
      <alignment horizontal="right" vertical="center" wrapText="1"/>
    </xf>
    <xf numFmtId="0" fontId="3" fillId="6" borderId="6" xfId="0" applyFont="1" applyFill="1" applyBorder="1" applyAlignment="1">
      <alignment horizontal="right" vertical="center" wrapText="1"/>
    </xf>
    <xf numFmtId="0" fontId="3" fillId="2" borderId="9" xfId="0" applyFont="1" applyFill="1" applyBorder="1" applyAlignment="1">
      <alignment horizontal="right" vertical="center" wrapText="1"/>
    </xf>
    <xf numFmtId="0" fontId="2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right" vertical="center" wrapText="1"/>
    </xf>
    <xf numFmtId="0" fontId="3" fillId="5" borderId="13" xfId="0" applyFont="1" applyFill="1" applyBorder="1" applyAlignment="1">
      <alignment horizontal="right" vertical="center" wrapText="1"/>
    </xf>
    <xf numFmtId="0" fontId="1" fillId="0" borderId="2" xfId="0" applyFont="1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0" xfId="0" applyFont="1"/>
    <xf numFmtId="0" fontId="0" fillId="0" borderId="1" xfId="0" applyBorder="1" applyAlignment="1">
      <alignment vertical="center" wrapText="1"/>
    </xf>
    <xf numFmtId="10" fontId="0" fillId="0" borderId="1" xfId="0" applyNumberFormat="1" applyBorder="1" applyAlignment="1">
      <alignment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0" fillId="0" borderId="8" xfId="0" applyBorder="1" applyAlignment="1">
      <alignment vertical="center" wrapText="1"/>
    </xf>
    <xf numFmtId="10" fontId="0" fillId="0" borderId="8" xfId="0" applyNumberFormat="1" applyBorder="1" applyAlignment="1">
      <alignment vertical="center" wrapText="1"/>
    </xf>
    <xf numFmtId="2" fontId="0" fillId="0" borderId="1" xfId="0" applyNumberFormat="1" applyBorder="1" applyAlignment="1">
      <alignment vertical="center" wrapText="1"/>
    </xf>
    <xf numFmtId="2" fontId="0" fillId="0" borderId="6" xfId="0" applyNumberFormat="1" applyBorder="1" applyAlignment="1">
      <alignment vertical="center" wrapText="1"/>
    </xf>
    <xf numFmtId="2" fontId="0" fillId="0" borderId="8" xfId="0" applyNumberFormat="1" applyBorder="1" applyAlignment="1">
      <alignment vertical="center" wrapText="1"/>
    </xf>
    <xf numFmtId="2" fontId="0" fillId="0" borderId="9" xfId="0" applyNumberFormat="1" applyBorder="1" applyAlignment="1">
      <alignment vertical="center" wrapText="1"/>
    </xf>
    <xf numFmtId="174" fontId="3" fillId="2" borderId="1" xfId="0" applyNumberFormat="1" applyFont="1" applyFill="1" applyBorder="1" applyAlignment="1">
      <alignment vertical="center" wrapText="1"/>
    </xf>
    <xf numFmtId="174" fontId="3" fillId="3" borderId="1" xfId="0" applyNumberFormat="1" applyFont="1" applyFill="1" applyBorder="1" applyAlignment="1">
      <alignment vertical="center" wrapText="1"/>
    </xf>
    <xf numFmtId="174" fontId="3" fillId="2" borderId="8" xfId="0" applyNumberFormat="1" applyFont="1" applyFill="1" applyBorder="1"/>
    <xf numFmtId="0" fontId="4" fillId="0" borderId="0" xfId="0" applyFont="1"/>
    <xf numFmtId="2" fontId="3" fillId="0" borderId="1" xfId="0" applyNumberFormat="1" applyFont="1" applyBorder="1" applyAlignment="1">
      <alignment horizontal="right" vertical="center" wrapText="1"/>
    </xf>
    <xf numFmtId="2" fontId="3" fillId="0" borderId="8" xfId="0" applyNumberFormat="1" applyFont="1" applyBorder="1" applyAlignment="1">
      <alignment horizontal="right" vertical="center" wrapText="1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4"/>
  <sheetViews>
    <sheetView showGridLines="0" zoomScaleNormal="100" workbookViewId="0">
      <selection activeCell="H7" sqref="H7"/>
    </sheetView>
  </sheetViews>
  <sheetFormatPr defaultColWidth="0" defaultRowHeight="15" zeroHeight="1" x14ac:dyDescent="0.25"/>
  <cols>
    <col min="1" max="1" width="4.7109375" bestFit="1" customWidth="1"/>
    <col min="2" max="2" width="5.7109375" bestFit="1" customWidth="1"/>
    <col min="3" max="3" width="11.140625" bestFit="1" customWidth="1"/>
    <col min="4" max="4" width="13.7109375" bestFit="1" customWidth="1"/>
    <col min="5" max="6" width="21.85546875" bestFit="1" customWidth="1"/>
    <col min="7" max="7" width="9.140625" bestFit="1" customWidth="1"/>
    <col min="8" max="8" width="11.5703125" bestFit="1" customWidth="1"/>
    <col min="9" max="9" width="12" bestFit="1" customWidth="1"/>
    <col min="10" max="10" width="10.42578125" bestFit="1" customWidth="1"/>
    <col min="11" max="11" width="28.140625" bestFit="1" customWidth="1"/>
    <col min="12" max="12" width="6.28515625" bestFit="1" customWidth="1"/>
    <col min="13" max="13" width="38.7109375" customWidth="1"/>
    <col min="14" max="16384" width="38.7109375" hidden="1"/>
  </cols>
  <sheetData>
    <row r="1" spans="2:12" ht="15.75" thickBot="1" x14ac:dyDescent="0.3"/>
    <row r="2" spans="2:12" x14ac:dyDescent="0.25">
      <c r="B2" s="2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56</v>
      </c>
      <c r="I2" s="3" t="s">
        <v>57</v>
      </c>
      <c r="J2" s="21" t="s">
        <v>58</v>
      </c>
      <c r="K2" s="25" t="s">
        <v>61</v>
      </c>
      <c r="L2" s="26" t="s">
        <v>67</v>
      </c>
    </row>
    <row r="3" spans="2:12" ht="16.5" x14ac:dyDescent="0.25">
      <c r="B3" s="4">
        <v>1</v>
      </c>
      <c r="C3" s="5" t="s">
        <v>6</v>
      </c>
      <c r="D3" s="5" t="s">
        <v>7</v>
      </c>
      <c r="E3" s="5" t="s">
        <v>8</v>
      </c>
      <c r="F3" s="5" t="s">
        <v>9</v>
      </c>
      <c r="G3" s="5" t="s">
        <v>10</v>
      </c>
      <c r="H3" s="5" t="s">
        <v>59</v>
      </c>
      <c r="I3" s="5" t="s">
        <v>60</v>
      </c>
      <c r="J3" s="22" t="s">
        <v>61</v>
      </c>
      <c r="K3" s="27" t="s">
        <v>62</v>
      </c>
      <c r="L3" s="28">
        <v>2</v>
      </c>
    </row>
    <row r="4" spans="2:12" ht="16.5" x14ac:dyDescent="0.25">
      <c r="B4" s="6">
        <v>2</v>
      </c>
      <c r="C4" s="7" t="s">
        <v>11</v>
      </c>
      <c r="D4" s="7">
        <v>100</v>
      </c>
      <c r="E4" s="7" t="s">
        <v>22</v>
      </c>
      <c r="F4" s="49">
        <v>14.85</v>
      </c>
      <c r="G4" s="45">
        <v>234.99999999999997</v>
      </c>
      <c r="H4" s="7" t="s">
        <v>36</v>
      </c>
      <c r="I4" s="7" t="s">
        <v>37</v>
      </c>
      <c r="J4" s="23" t="s">
        <v>38</v>
      </c>
      <c r="K4" s="27" t="s">
        <v>63</v>
      </c>
      <c r="L4" s="28">
        <v>7</v>
      </c>
    </row>
    <row r="5" spans="2:12" ht="16.5" x14ac:dyDescent="0.25">
      <c r="B5" s="6">
        <v>3</v>
      </c>
      <c r="C5" s="7" t="s">
        <v>12</v>
      </c>
      <c r="D5" s="7">
        <v>200</v>
      </c>
      <c r="E5" s="7" t="s">
        <v>23</v>
      </c>
      <c r="F5" s="49">
        <v>7.05</v>
      </c>
      <c r="G5" s="45">
        <v>50</v>
      </c>
      <c r="H5" s="7" t="s">
        <v>39</v>
      </c>
      <c r="I5" s="7" t="s">
        <v>40</v>
      </c>
      <c r="J5" s="24" t="s">
        <v>41</v>
      </c>
      <c r="K5" s="27" t="s">
        <v>64</v>
      </c>
      <c r="L5" s="28">
        <v>1</v>
      </c>
    </row>
    <row r="6" spans="2:12" ht="16.5" x14ac:dyDescent="0.25">
      <c r="B6" s="6">
        <v>4</v>
      </c>
      <c r="C6" s="7" t="s">
        <v>13</v>
      </c>
      <c r="D6" s="7">
        <v>500</v>
      </c>
      <c r="E6" s="7" t="s">
        <v>24</v>
      </c>
      <c r="F6" s="49">
        <v>2.95</v>
      </c>
      <c r="G6" s="45">
        <v>275.00000000000011</v>
      </c>
      <c r="H6" s="7" t="s">
        <v>42</v>
      </c>
      <c r="I6" s="7" t="s">
        <v>43</v>
      </c>
      <c r="J6" s="24" t="s">
        <v>41</v>
      </c>
      <c r="K6" s="27" t="s">
        <v>65</v>
      </c>
      <c r="L6" s="28">
        <v>0</v>
      </c>
    </row>
    <row r="7" spans="2:12" ht="17.25" thickBot="1" x14ac:dyDescent="0.3">
      <c r="B7" s="6">
        <v>5</v>
      </c>
      <c r="C7" s="7" t="s">
        <v>14</v>
      </c>
      <c r="D7" s="7">
        <v>150</v>
      </c>
      <c r="E7" s="7" t="s">
        <v>25</v>
      </c>
      <c r="F7" s="49">
        <v>32.1</v>
      </c>
      <c r="G7" s="45">
        <v>615.00000000000023</v>
      </c>
      <c r="H7" s="7" t="s">
        <v>44</v>
      </c>
      <c r="I7" s="7" t="s">
        <v>43</v>
      </c>
      <c r="J7" s="24" t="s">
        <v>41</v>
      </c>
      <c r="K7" s="29" t="s">
        <v>66</v>
      </c>
      <c r="L7" s="1">
        <v>0</v>
      </c>
    </row>
    <row r="8" spans="2:12" ht="16.5" x14ac:dyDescent="0.25">
      <c r="B8" s="6">
        <v>6</v>
      </c>
      <c r="C8" s="7" t="s">
        <v>15</v>
      </c>
      <c r="D8" s="7">
        <v>80</v>
      </c>
      <c r="E8" s="7" t="s">
        <v>26</v>
      </c>
      <c r="F8" s="49">
        <v>41.8</v>
      </c>
      <c r="G8" s="46">
        <v>-256.00000000000023</v>
      </c>
      <c r="H8" s="7" t="s">
        <v>45</v>
      </c>
      <c r="I8" s="7" t="s">
        <v>46</v>
      </c>
      <c r="J8" s="18" t="s">
        <v>41</v>
      </c>
    </row>
    <row r="9" spans="2:12" ht="33" x14ac:dyDescent="0.25">
      <c r="B9" s="6">
        <v>7</v>
      </c>
      <c r="C9" s="7" t="s">
        <v>16</v>
      </c>
      <c r="D9" s="7">
        <v>1000</v>
      </c>
      <c r="E9" s="7" t="s">
        <v>27</v>
      </c>
      <c r="F9" s="49">
        <v>0.33</v>
      </c>
      <c r="G9" s="45">
        <v>49.999999999999986</v>
      </c>
      <c r="H9" s="7" t="s">
        <v>47</v>
      </c>
      <c r="I9" s="7" t="s">
        <v>48</v>
      </c>
      <c r="J9" s="19" t="s">
        <v>49</v>
      </c>
    </row>
    <row r="10" spans="2:12" ht="16.5" x14ac:dyDescent="0.25">
      <c r="B10" s="6">
        <v>8</v>
      </c>
      <c r="C10" s="7" t="s">
        <v>17</v>
      </c>
      <c r="D10" s="7">
        <v>120</v>
      </c>
      <c r="E10" s="7" t="s">
        <v>28</v>
      </c>
      <c r="F10" s="49">
        <v>42.5</v>
      </c>
      <c r="G10" s="45">
        <v>480</v>
      </c>
      <c r="H10" s="7" t="s">
        <v>50</v>
      </c>
      <c r="I10" s="7" t="s">
        <v>37</v>
      </c>
      <c r="J10" s="18" t="s">
        <v>41</v>
      </c>
    </row>
    <row r="11" spans="2:12" ht="16.5" x14ac:dyDescent="0.25">
      <c r="B11" s="6">
        <v>9</v>
      </c>
      <c r="C11" s="7" t="s">
        <v>18</v>
      </c>
      <c r="D11" s="7">
        <v>30</v>
      </c>
      <c r="E11" s="7" t="s">
        <v>29</v>
      </c>
      <c r="F11" s="49">
        <v>415</v>
      </c>
      <c r="G11" s="45">
        <v>1050</v>
      </c>
      <c r="H11" s="7" t="s">
        <v>51</v>
      </c>
      <c r="I11" s="7" t="s">
        <v>52</v>
      </c>
      <c r="J11" s="18" t="s">
        <v>41</v>
      </c>
    </row>
    <row r="12" spans="2:12" ht="33" x14ac:dyDescent="0.25">
      <c r="B12" s="6">
        <v>10</v>
      </c>
      <c r="C12" s="7" t="s">
        <v>19</v>
      </c>
      <c r="D12" s="7">
        <v>250</v>
      </c>
      <c r="E12" s="7" t="s">
        <v>30</v>
      </c>
      <c r="F12" s="49">
        <v>13.5</v>
      </c>
      <c r="G12" s="45">
        <v>375</v>
      </c>
      <c r="H12" s="7" t="s">
        <v>53</v>
      </c>
      <c r="I12" s="7" t="s">
        <v>43</v>
      </c>
      <c r="J12" s="18" t="s">
        <v>41</v>
      </c>
    </row>
    <row r="13" spans="2:12" ht="17.25" thickBot="1" x14ac:dyDescent="0.35">
      <c r="B13" s="8">
        <v>11</v>
      </c>
      <c r="C13" s="9" t="s">
        <v>20</v>
      </c>
      <c r="D13" s="9">
        <v>180</v>
      </c>
      <c r="E13" s="9" t="s">
        <v>31</v>
      </c>
      <c r="F13" s="50">
        <v>26.2</v>
      </c>
      <c r="G13" s="47">
        <v>665.99999999999989</v>
      </c>
      <c r="H13" s="9" t="s">
        <v>54</v>
      </c>
      <c r="I13" s="9" t="s">
        <v>55</v>
      </c>
      <c r="J13" s="20" t="s">
        <v>38</v>
      </c>
    </row>
    <row r="14" spans="2:12" ht="15.75" thickBot="1" x14ac:dyDescent="0.3">
      <c r="F14" s="11" t="s">
        <v>21</v>
      </c>
      <c r="G14" s="12">
        <v>3540</v>
      </c>
      <c r="H14" s="17"/>
      <c r="I14" s="17"/>
      <c r="J14" s="17"/>
    </row>
    <row r="15" spans="2:12" x14ac:dyDescent="0.25">
      <c r="D15" s="10"/>
    </row>
    <row r="22" x14ac:dyDescent="0.25"/>
    <row r="23" x14ac:dyDescent="0.25"/>
    <row r="24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88B12-F85E-4C4C-A708-DD512ED14D20}">
  <sheetPr codeName="Sheet2"/>
  <dimension ref="A1:G26"/>
  <sheetViews>
    <sheetView showGridLines="0" zoomScale="205" zoomScaleNormal="205" workbookViewId="0">
      <selection activeCell="B2" sqref="B2"/>
    </sheetView>
  </sheetViews>
  <sheetFormatPr defaultColWidth="0" defaultRowHeight="0" customHeight="1" zeroHeight="1" x14ac:dyDescent="0.25"/>
  <cols>
    <col min="1" max="1" width="4.7109375" bestFit="1" customWidth="1"/>
    <col min="2" max="2" width="5.7109375" bestFit="1" customWidth="1"/>
    <col min="3" max="3" width="11.140625" bestFit="1" customWidth="1"/>
    <col min="4" max="4" width="13.5703125" bestFit="1" customWidth="1"/>
    <col min="5" max="5" width="12.28515625" bestFit="1" customWidth="1"/>
    <col min="6" max="6" width="11.42578125" bestFit="1" customWidth="1"/>
    <col min="7" max="7" width="10.42578125" customWidth="1"/>
    <col min="8" max="16384" width="38.7109375" hidden="1"/>
  </cols>
  <sheetData>
    <row r="1" spans="2:6" ht="15.75" thickBot="1" x14ac:dyDescent="0.3"/>
    <row r="2" spans="2:6" ht="15" x14ac:dyDescent="0.25">
      <c r="B2" s="2" t="s">
        <v>0</v>
      </c>
      <c r="C2" s="3" t="s">
        <v>1</v>
      </c>
      <c r="D2" s="3" t="s">
        <v>32</v>
      </c>
      <c r="E2" s="3" t="s">
        <v>33</v>
      </c>
      <c r="F2" s="13" t="s">
        <v>34</v>
      </c>
    </row>
    <row r="3" spans="2:6" ht="16.5" x14ac:dyDescent="0.25">
      <c r="B3" s="4">
        <v>1</v>
      </c>
      <c r="C3" s="5" t="s">
        <v>35</v>
      </c>
      <c r="D3" s="5" t="s">
        <v>35</v>
      </c>
      <c r="E3" s="5" t="s">
        <v>35</v>
      </c>
      <c r="F3" s="14" t="s">
        <v>35</v>
      </c>
    </row>
    <row r="4" spans="2:6" ht="16.5" x14ac:dyDescent="0.25">
      <c r="B4" s="6">
        <v>2</v>
      </c>
      <c r="C4" s="7" t="s">
        <v>11</v>
      </c>
      <c r="D4" s="7" t="s">
        <v>36</v>
      </c>
      <c r="E4" s="7" t="s">
        <v>37</v>
      </c>
      <c r="F4" s="15" t="s">
        <v>38</v>
      </c>
    </row>
    <row r="5" spans="2:6" ht="16.5" x14ac:dyDescent="0.25">
      <c r="B5" s="6">
        <v>3</v>
      </c>
      <c r="C5" s="7" t="s">
        <v>12</v>
      </c>
      <c r="D5" s="7" t="s">
        <v>39</v>
      </c>
      <c r="E5" s="7" t="s">
        <v>40</v>
      </c>
      <c r="F5" s="15" t="s">
        <v>41</v>
      </c>
    </row>
    <row r="6" spans="2:6" ht="16.5" x14ac:dyDescent="0.25">
      <c r="B6" s="6">
        <v>4</v>
      </c>
      <c r="C6" s="7" t="s">
        <v>13</v>
      </c>
      <c r="D6" s="7" t="s">
        <v>42</v>
      </c>
      <c r="E6" s="7" t="s">
        <v>43</v>
      </c>
      <c r="F6" s="15" t="s">
        <v>41</v>
      </c>
    </row>
    <row r="7" spans="2:6" ht="16.5" x14ac:dyDescent="0.25">
      <c r="B7" s="6">
        <v>5</v>
      </c>
      <c r="C7" s="7" t="s">
        <v>14</v>
      </c>
      <c r="D7" s="7" t="s">
        <v>44</v>
      </c>
      <c r="E7" s="7" t="s">
        <v>43</v>
      </c>
      <c r="F7" s="15" t="s">
        <v>41</v>
      </c>
    </row>
    <row r="8" spans="2:6" ht="16.5" x14ac:dyDescent="0.25">
      <c r="B8" s="6">
        <v>6</v>
      </c>
      <c r="C8" s="7" t="s">
        <v>15</v>
      </c>
      <c r="D8" s="7" t="s">
        <v>45</v>
      </c>
      <c r="E8" s="7" t="s">
        <v>46</v>
      </c>
      <c r="F8" s="15" t="s">
        <v>41</v>
      </c>
    </row>
    <row r="9" spans="2:6" ht="33" x14ac:dyDescent="0.25">
      <c r="B9" s="6">
        <v>7</v>
      </c>
      <c r="C9" s="7" t="s">
        <v>16</v>
      </c>
      <c r="D9" s="7" t="s">
        <v>47</v>
      </c>
      <c r="E9" s="7" t="s">
        <v>48</v>
      </c>
      <c r="F9" s="15" t="s">
        <v>49</v>
      </c>
    </row>
    <row r="10" spans="2:6" ht="16.5" x14ac:dyDescent="0.25">
      <c r="B10" s="6">
        <v>8</v>
      </c>
      <c r="C10" s="7" t="s">
        <v>17</v>
      </c>
      <c r="D10" s="7" t="s">
        <v>50</v>
      </c>
      <c r="E10" s="7" t="s">
        <v>37</v>
      </c>
      <c r="F10" s="15" t="s">
        <v>41</v>
      </c>
    </row>
    <row r="11" spans="2:6" ht="16.5" x14ac:dyDescent="0.25">
      <c r="B11" s="6">
        <v>9</v>
      </c>
      <c r="C11" s="7" t="s">
        <v>18</v>
      </c>
      <c r="D11" s="7" t="s">
        <v>51</v>
      </c>
      <c r="E11" s="7" t="s">
        <v>52</v>
      </c>
      <c r="F11" s="15" t="s">
        <v>41</v>
      </c>
    </row>
    <row r="12" spans="2:6" ht="33" x14ac:dyDescent="0.25">
      <c r="B12" s="6">
        <v>10</v>
      </c>
      <c r="C12" s="7" t="s">
        <v>19</v>
      </c>
      <c r="D12" s="7" t="s">
        <v>53</v>
      </c>
      <c r="E12" s="7" t="s">
        <v>43</v>
      </c>
      <c r="F12" s="15" t="s">
        <v>41</v>
      </c>
    </row>
    <row r="13" spans="2:6" ht="17.25" thickBot="1" x14ac:dyDescent="0.35">
      <c r="B13" s="8">
        <v>11</v>
      </c>
      <c r="C13" s="9" t="s">
        <v>20</v>
      </c>
      <c r="D13" s="9" t="s">
        <v>54</v>
      </c>
      <c r="E13" s="9" t="s">
        <v>55</v>
      </c>
      <c r="F13" s="16" t="s">
        <v>38</v>
      </c>
    </row>
    <row r="14" spans="2:6" ht="15" x14ac:dyDescent="0.25">
      <c r="D14" s="10"/>
    </row>
    <row r="15" spans="2:6" ht="15" hidden="1" x14ac:dyDescent="0.25"/>
    <row r="16" spans="2:6" ht="15" hidden="1" x14ac:dyDescent="0.25"/>
    <row r="17" ht="15" hidden="1" x14ac:dyDescent="0.25"/>
    <row r="18" ht="15" hidden="1" x14ac:dyDescent="0.25"/>
    <row r="19" ht="15" hidden="1" x14ac:dyDescent="0.25"/>
    <row r="20" ht="15" hidden="1" x14ac:dyDescent="0.25"/>
    <row r="21" ht="15" hidden="1" customHeight="1" x14ac:dyDescent="0.25"/>
    <row r="22" ht="15" hidden="1" customHeight="1" x14ac:dyDescent="0.25"/>
    <row r="23" ht="15" hidden="1" customHeight="1" x14ac:dyDescent="0.25"/>
    <row r="24" ht="15" hidden="1" customHeight="1" x14ac:dyDescent="0.25"/>
    <row r="25" ht="15" hidden="1" customHeight="1" x14ac:dyDescent="0.25"/>
    <row r="26" ht="15" hidden="1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E384B-5069-4BDB-B218-4E1468FA0A95}">
  <sheetPr codeName="Sheet3"/>
  <dimension ref="B1:J11"/>
  <sheetViews>
    <sheetView showGridLines="0" zoomScale="145" zoomScaleNormal="145" workbookViewId="0">
      <selection activeCell="H5" sqref="H5"/>
    </sheetView>
  </sheetViews>
  <sheetFormatPr defaultColWidth="0" defaultRowHeight="15" zeroHeight="1" x14ac:dyDescent="0.25"/>
  <cols>
    <col min="1" max="1" width="3.28515625" customWidth="1"/>
    <col min="2" max="2" width="2" bestFit="1" customWidth="1"/>
    <col min="3" max="3" width="16.42578125" bestFit="1" customWidth="1"/>
    <col min="4" max="5" width="8.7109375" bestFit="1" customWidth="1"/>
    <col min="6" max="6" width="14.42578125" bestFit="1" customWidth="1"/>
    <col min="7" max="7" width="13.7109375" bestFit="1" customWidth="1"/>
    <col min="8" max="8" width="8.7109375" bestFit="1" customWidth="1"/>
    <col min="9" max="9" width="17.7109375" bestFit="1" customWidth="1"/>
    <col min="10" max="10" width="18.85546875" bestFit="1" customWidth="1"/>
    <col min="11" max="11" width="15.28515625" customWidth="1"/>
    <col min="12" max="16384" width="34.140625" hidden="1"/>
  </cols>
  <sheetData>
    <row r="1" spans="2:10" ht="15.75" thickBot="1" x14ac:dyDescent="0.3"/>
    <row r="2" spans="2:10" x14ac:dyDescent="0.25">
      <c r="B2" s="33"/>
      <c r="C2" s="34" t="s">
        <v>38</v>
      </c>
      <c r="D2" s="34" t="s">
        <v>49</v>
      </c>
      <c r="E2" s="34" t="s">
        <v>68</v>
      </c>
      <c r="F2" s="34" t="s">
        <v>69</v>
      </c>
      <c r="G2" s="34" t="s">
        <v>70</v>
      </c>
      <c r="H2" s="34" t="s">
        <v>71</v>
      </c>
      <c r="I2" s="34" t="s">
        <v>20</v>
      </c>
      <c r="J2" s="35" t="s">
        <v>72</v>
      </c>
    </row>
    <row r="3" spans="2:10" x14ac:dyDescent="0.25">
      <c r="B3" s="36">
        <v>2</v>
      </c>
      <c r="C3" s="31" t="s">
        <v>59</v>
      </c>
      <c r="D3" s="31" t="s">
        <v>73</v>
      </c>
      <c r="E3" s="31" t="s">
        <v>74</v>
      </c>
      <c r="F3" s="31" t="s">
        <v>75</v>
      </c>
      <c r="G3" s="31" t="s">
        <v>76</v>
      </c>
      <c r="H3" s="31" t="s">
        <v>77</v>
      </c>
      <c r="I3" s="31" t="s">
        <v>78</v>
      </c>
      <c r="J3" s="37" t="s">
        <v>79</v>
      </c>
    </row>
    <row r="4" spans="2:10" x14ac:dyDescent="0.25">
      <c r="B4" s="36">
        <v>3</v>
      </c>
      <c r="C4" s="31" t="s">
        <v>35</v>
      </c>
      <c r="D4" s="31" t="s">
        <v>35</v>
      </c>
      <c r="E4" s="31" t="s">
        <v>35</v>
      </c>
      <c r="F4" s="31" t="s">
        <v>35</v>
      </c>
      <c r="G4" s="31" t="s">
        <v>35</v>
      </c>
      <c r="H4" s="31" t="s">
        <v>35</v>
      </c>
      <c r="I4" s="31" t="s">
        <v>35</v>
      </c>
      <c r="J4" s="37" t="s">
        <v>35</v>
      </c>
    </row>
    <row r="5" spans="2:10" x14ac:dyDescent="0.25">
      <c r="B5" s="36">
        <v>4</v>
      </c>
      <c r="C5" s="31" t="s">
        <v>80</v>
      </c>
      <c r="D5" s="32">
        <v>0.05</v>
      </c>
      <c r="E5" s="32">
        <v>0.04</v>
      </c>
      <c r="F5" s="31">
        <v>5</v>
      </c>
      <c r="G5" s="31">
        <v>100</v>
      </c>
      <c r="H5" s="41" cm="1">
        <f t="array" ref="H5">BondPrice(D5,E5,F5,G5)</f>
        <v>104.45182233101619</v>
      </c>
      <c r="I5" s="41" cm="1">
        <f t="array" ref="I5">DurationMacaulay(D5,E5,F5,G5)</f>
        <v>4.5570867416627561</v>
      </c>
      <c r="J5" s="42" cm="1">
        <f t="array" ref="J5">DurationModificata(D5,E5,F5,G5)</f>
        <v>4.3818141746757266</v>
      </c>
    </row>
    <row r="6" spans="2:10" x14ac:dyDescent="0.25">
      <c r="B6" s="36">
        <v>5</v>
      </c>
      <c r="C6" s="31" t="s">
        <v>81</v>
      </c>
      <c r="D6" s="32">
        <v>0.03</v>
      </c>
      <c r="E6" s="32">
        <v>0.05</v>
      </c>
      <c r="F6" s="31">
        <v>10</v>
      </c>
      <c r="G6" s="31">
        <v>100</v>
      </c>
      <c r="H6" s="41" cm="1">
        <f t="array" ref="H6">BondPrice(D6,E6,F6,G6)</f>
        <v>84.556530141630347</v>
      </c>
      <c r="I6" s="41" cm="1">
        <f t="array" ref="I6">DurationMacaulay(D6,E6,F6,G6)</f>
        <v>8.6573396605655955</v>
      </c>
      <c r="J6" s="42" cm="1">
        <f t="array" ref="J6">DurationModificata(D6,E6,F6,G6)</f>
        <v>8.245085391014852</v>
      </c>
    </row>
    <row r="7" spans="2:10" x14ac:dyDescent="0.25">
      <c r="B7" s="36">
        <v>6</v>
      </c>
      <c r="C7" s="31" t="s">
        <v>82</v>
      </c>
      <c r="D7" s="32">
        <v>0</v>
      </c>
      <c r="E7" s="32">
        <v>0.04</v>
      </c>
      <c r="F7" s="31">
        <v>10</v>
      </c>
      <c r="G7" s="31">
        <v>100</v>
      </c>
      <c r="H7" s="41" cm="1">
        <f t="array" ref="H7">BondPrice(D7,E7,F7,G7)</f>
        <v>67.556416882579867</v>
      </c>
      <c r="I7" s="41" cm="1">
        <f t="array" ref="I7">DurationMacaulay(D7,E7,F7,G7)</f>
        <v>10</v>
      </c>
      <c r="J7" s="42" cm="1">
        <f t="array" ref="J7">DurationModificata(D7,E7,F7,G7)</f>
        <v>9.615384615384615</v>
      </c>
    </row>
    <row r="8" spans="2:10" x14ac:dyDescent="0.25">
      <c r="B8" s="36">
        <v>7</v>
      </c>
      <c r="C8" s="31" t="s">
        <v>83</v>
      </c>
      <c r="D8" s="32">
        <v>7.0000000000000007E-2</v>
      </c>
      <c r="E8" s="32">
        <v>0.06</v>
      </c>
      <c r="F8" s="31">
        <v>20</v>
      </c>
      <c r="G8" s="31">
        <v>100</v>
      </c>
      <c r="H8" s="41" cm="1">
        <f t="array" ref="H8">BondPrice(D8,E8,F8,G8)</f>
        <v>111.4699212185652</v>
      </c>
      <c r="I8" s="41" cm="1">
        <f t="array" ref="I8">DurationMacaulay(D8,E8,F8,G8)</f>
        <v>11.792526635860552</v>
      </c>
      <c r="J8" s="42" cm="1">
        <f t="array" ref="J8">DurationModificata(D8,E8,F8,G8)</f>
        <v>11.125025128170332</v>
      </c>
    </row>
    <row r="9" spans="2:10" x14ac:dyDescent="0.25">
      <c r="B9" s="36">
        <v>8</v>
      </c>
      <c r="C9" s="31" t="s">
        <v>84</v>
      </c>
      <c r="D9" s="32">
        <v>0.05</v>
      </c>
      <c r="E9" s="32">
        <v>0.05</v>
      </c>
      <c r="F9" s="31">
        <v>30</v>
      </c>
      <c r="G9" s="31">
        <v>100</v>
      </c>
      <c r="H9" s="41" cm="1">
        <f t="array" ref="H9">BondPrice(D9,E9,F9,G9)</f>
        <v>99.999999999999915</v>
      </c>
      <c r="I9" s="41" cm="1">
        <f t="array" ref="I9">DurationMacaulay(D9,E9,F9,G9)</f>
        <v>16.14107357822698</v>
      </c>
      <c r="J9" s="42" cm="1">
        <f t="array" ref="J9">DurationModificata(D9,E9,F9,G9)</f>
        <v>15.372451026882837</v>
      </c>
    </row>
    <row r="10" spans="2:10" ht="15.75" thickBot="1" x14ac:dyDescent="0.3">
      <c r="B10" s="38">
        <v>9</v>
      </c>
      <c r="C10" s="39" t="s">
        <v>85</v>
      </c>
      <c r="D10" s="40">
        <v>0.1</v>
      </c>
      <c r="E10" s="40">
        <v>0.08</v>
      </c>
      <c r="F10" s="39">
        <v>5</v>
      </c>
      <c r="G10" s="39">
        <v>100</v>
      </c>
      <c r="H10" s="43" cm="1">
        <f t="array" ref="H10">BondPrice(D10,E10,F10,G10)</f>
        <v>107.98542007415614</v>
      </c>
      <c r="I10" s="43" cm="1">
        <f t="array" ref="I10">DurationMacaulay(D10,E10,F10,G10)</f>
        <v>4.2037430151643518</v>
      </c>
      <c r="J10" s="44" cm="1">
        <f t="array" ref="J10">DurationModificata(D10,E10,F10,G10)</f>
        <v>3.8923546436706959</v>
      </c>
    </row>
    <row r="11" spans="2:10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4AF32-EC69-4146-9CD3-1D105BEC46C6}">
  <sheetPr codeName="Sheet4"/>
  <dimension ref="A1:B31"/>
  <sheetViews>
    <sheetView zoomScale="175" zoomScaleNormal="175" workbookViewId="0">
      <selection activeCell="A16" sqref="A16"/>
    </sheetView>
  </sheetViews>
  <sheetFormatPr defaultColWidth="0" defaultRowHeight="15" zeroHeight="1" x14ac:dyDescent="0.25"/>
  <cols>
    <col min="1" max="1" width="50.85546875" bestFit="1" customWidth="1"/>
    <col min="2" max="2" width="10.5703125" bestFit="1" customWidth="1"/>
    <col min="3" max="3" width="9.140625" customWidth="1"/>
    <col min="4" max="16384" width="9.140625" hidden="1"/>
  </cols>
  <sheetData>
    <row r="1" spans="1:2" ht="18.75" x14ac:dyDescent="0.3">
      <c r="A1" s="48" t="s">
        <v>1090</v>
      </c>
    </row>
    <row r="2" spans="1:2" x14ac:dyDescent="0.25">
      <c r="A2" t="s">
        <v>1091</v>
      </c>
    </row>
    <row r="3" spans="1:2" x14ac:dyDescent="0.25">
      <c r="A3" t="s">
        <v>1095</v>
      </c>
    </row>
    <row r="4" spans="1:2" x14ac:dyDescent="0.25">
      <c r="A4" t="s">
        <v>1096</v>
      </c>
    </row>
    <row r="5" spans="1:2" x14ac:dyDescent="0.25"/>
    <row r="6" spans="1:2" x14ac:dyDescent="0.25">
      <c r="A6" s="30" t="s">
        <v>1092</v>
      </c>
      <c r="B6" s="30" t="s">
        <v>10</v>
      </c>
    </row>
    <row r="7" spans="1:2" x14ac:dyDescent="0.25">
      <c r="A7">
        <v>28848.601147460937</v>
      </c>
      <c r="B7" t="s">
        <v>443</v>
      </c>
    </row>
    <row r="8" spans="1:2" x14ac:dyDescent="0.25">
      <c r="A8">
        <v>27955.997646484371</v>
      </c>
      <c r="B8" t="s">
        <v>802</v>
      </c>
    </row>
    <row r="9" spans="1:2" x14ac:dyDescent="0.25">
      <c r="A9">
        <v>26802.07875976562</v>
      </c>
      <c r="B9" t="s">
        <v>252</v>
      </c>
    </row>
    <row r="10" spans="1:2" x14ac:dyDescent="0.25">
      <c r="A10">
        <v>26316.796862792973</v>
      </c>
      <c r="B10" t="s">
        <v>551</v>
      </c>
    </row>
    <row r="11" spans="1:2" x14ac:dyDescent="0.25">
      <c r="A11">
        <v>26067.778135070806</v>
      </c>
      <c r="B11" t="s">
        <v>708</v>
      </c>
    </row>
    <row r="12" spans="1:2" x14ac:dyDescent="0.25">
      <c r="A12" t="s">
        <v>52</v>
      </c>
      <c r="B12">
        <v>1050</v>
      </c>
    </row>
    <row r="13" spans="1:2" x14ac:dyDescent="0.25">
      <c r="A13" s="30" t="s">
        <v>1093</v>
      </c>
      <c r="B13" s="30" t="s">
        <v>10</v>
      </c>
    </row>
    <row r="14" spans="1:2" x14ac:dyDescent="0.25">
      <c r="A14">
        <v>-29290.710289001465</v>
      </c>
      <c r="B14" t="s">
        <v>655</v>
      </c>
    </row>
    <row r="15" spans="1:2" x14ac:dyDescent="0.25">
      <c r="A15">
        <v>-28667.517231445316</v>
      </c>
      <c r="B15" t="s">
        <v>833</v>
      </c>
    </row>
    <row r="16" spans="1:2" x14ac:dyDescent="0.25">
      <c r="A16">
        <v>-26467.351521606441</v>
      </c>
      <c r="B16" t="s">
        <v>227</v>
      </c>
    </row>
    <row r="17" spans="1:2" x14ac:dyDescent="0.25">
      <c r="A17">
        <v>-24146.836909179685</v>
      </c>
      <c r="B17" t="s">
        <v>386</v>
      </c>
    </row>
    <row r="18" spans="1:2" x14ac:dyDescent="0.25">
      <c r="A18">
        <v>-23847.802886962891</v>
      </c>
      <c r="B18" t="s">
        <v>478</v>
      </c>
    </row>
    <row r="19" spans="1:2" x14ac:dyDescent="0.25"/>
    <row r="20" spans="1:2" x14ac:dyDescent="0.25">
      <c r="A20" s="30" t="s">
        <v>1094</v>
      </c>
      <c r="B20" s="30" t="s">
        <v>10</v>
      </c>
    </row>
    <row r="21" spans="1:2" x14ac:dyDescent="0.25">
      <c r="A21" t="s">
        <v>40</v>
      </c>
      <c r="B21">
        <v>6765.5962229156357</v>
      </c>
    </row>
    <row r="22" spans="1:2" x14ac:dyDescent="0.25">
      <c r="A22" t="s">
        <v>90</v>
      </c>
      <c r="B22">
        <v>-37704.517888183575</v>
      </c>
    </row>
    <row r="23" spans="1:2" x14ac:dyDescent="0.25">
      <c r="A23" t="s">
        <v>48</v>
      </c>
      <c r="B23">
        <v>155689.56555686949</v>
      </c>
    </row>
    <row r="24" spans="1:2" x14ac:dyDescent="0.25">
      <c r="A24" t="s">
        <v>96</v>
      </c>
      <c r="B24">
        <v>6633.003713569643</v>
      </c>
    </row>
    <row r="25" spans="1:2" x14ac:dyDescent="0.25">
      <c r="A25" t="s">
        <v>37</v>
      </c>
      <c r="B25">
        <v>-73441.187402000462</v>
      </c>
    </row>
    <row r="26" spans="1:2" x14ac:dyDescent="0.25">
      <c r="A26" t="s">
        <v>43</v>
      </c>
      <c r="B26">
        <v>-53932.312930450447</v>
      </c>
    </row>
    <row r="27" spans="1:2" x14ac:dyDescent="0.25">
      <c r="A27" t="s">
        <v>105</v>
      </c>
      <c r="B27">
        <v>38574.931147727977</v>
      </c>
    </row>
    <row r="28" spans="1:2" x14ac:dyDescent="0.25">
      <c r="A28" t="s">
        <v>46</v>
      </c>
      <c r="B28">
        <v>58922.889497680648</v>
      </c>
    </row>
    <row r="29" spans="1:2" x14ac:dyDescent="0.25">
      <c r="A29" t="s">
        <v>55</v>
      </c>
      <c r="B29">
        <v>-105232.85175453183</v>
      </c>
    </row>
    <row r="30" spans="1:2" x14ac:dyDescent="0.25">
      <c r="A30" t="s">
        <v>52</v>
      </c>
      <c r="B30">
        <v>11743.883411216748</v>
      </c>
    </row>
    <row r="31" spans="1:2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E428-EE61-4DCC-BF93-7C4180F9B96D}">
  <sheetPr codeName="Sheet5"/>
  <dimension ref="A1:F1001"/>
  <sheetViews>
    <sheetView tabSelected="1" workbookViewId="0"/>
  </sheetViews>
  <sheetFormatPr defaultColWidth="0" defaultRowHeight="15" x14ac:dyDescent="0.25"/>
  <cols>
    <col min="1" max="1" width="8.28515625" bestFit="1" customWidth="1"/>
    <col min="2" max="2" width="9.5703125" bestFit="1" customWidth="1"/>
    <col min="3" max="3" width="8.7109375" bestFit="1" customWidth="1"/>
    <col min="4" max="4" width="15.140625" bestFit="1" customWidth="1"/>
    <col min="5" max="5" width="15.28515625" bestFit="1" customWidth="1"/>
    <col min="6" max="6" width="9.28515625" bestFit="1" customWidth="1"/>
    <col min="7" max="7" width="9.140625" customWidth="1"/>
    <col min="8" max="16384" width="9.140625" hidden="1"/>
  </cols>
  <sheetData>
    <row r="1" spans="1:6" x14ac:dyDescent="0.25">
      <c r="A1" s="30" t="s">
        <v>6</v>
      </c>
      <c r="B1" s="30" t="s">
        <v>60</v>
      </c>
      <c r="C1" s="30" t="s">
        <v>86</v>
      </c>
      <c r="D1" s="30" t="s">
        <v>8</v>
      </c>
      <c r="E1" s="30" t="s">
        <v>9</v>
      </c>
      <c r="F1" s="30" t="s">
        <v>10</v>
      </c>
    </row>
    <row r="2" spans="1:6" x14ac:dyDescent="0.25">
      <c r="A2" t="s">
        <v>87</v>
      </c>
      <c r="B2" t="s">
        <v>40</v>
      </c>
      <c r="C2">
        <v>1001</v>
      </c>
      <c r="D2" s="51">
        <v>51.759998321533203</v>
      </c>
      <c r="E2">
        <v>51.57</v>
      </c>
      <c r="F2" s="51">
        <v>-190.18831985473605</v>
      </c>
    </row>
    <row r="3" spans="1:6" x14ac:dyDescent="0.25">
      <c r="A3" t="s">
        <v>88</v>
      </c>
      <c r="B3" t="s">
        <v>40</v>
      </c>
      <c r="C3">
        <v>602</v>
      </c>
      <c r="D3" s="51">
        <v>37.549999237060547</v>
      </c>
      <c r="E3">
        <v>30.68</v>
      </c>
      <c r="F3" s="51">
        <v>-4135.7395407104495</v>
      </c>
    </row>
    <row r="4" spans="1:6" x14ac:dyDescent="0.25">
      <c r="A4" t="s">
        <v>89</v>
      </c>
      <c r="B4" t="s">
        <v>90</v>
      </c>
      <c r="C4">
        <v>606</v>
      </c>
      <c r="D4" s="51">
        <v>69.730003356933594</v>
      </c>
      <c r="E4">
        <v>68.760000000000005</v>
      </c>
      <c r="F4" s="51">
        <v>-587.82203430175468</v>
      </c>
    </row>
    <row r="5" spans="1:6" x14ac:dyDescent="0.25">
      <c r="A5" t="s">
        <v>91</v>
      </c>
      <c r="B5" t="s">
        <v>40</v>
      </c>
      <c r="C5">
        <v>343</v>
      </c>
      <c r="D5" s="51">
        <v>55.819999694824219</v>
      </c>
      <c r="E5">
        <v>70.11</v>
      </c>
      <c r="F5" s="51">
        <v>4901.4701046752925</v>
      </c>
    </row>
    <row r="6" spans="1:6" x14ac:dyDescent="0.25">
      <c r="A6" t="s">
        <v>92</v>
      </c>
      <c r="B6" t="s">
        <v>48</v>
      </c>
      <c r="C6">
        <v>725</v>
      </c>
      <c r="D6" s="51">
        <v>28.409999847412109</v>
      </c>
      <c r="E6">
        <v>26.35</v>
      </c>
      <c r="F6" s="51">
        <v>-1493.4998893737782</v>
      </c>
    </row>
    <row r="7" spans="1:6" x14ac:dyDescent="0.25">
      <c r="A7" t="s">
        <v>93</v>
      </c>
      <c r="B7" t="s">
        <v>48</v>
      </c>
      <c r="C7">
        <v>889</v>
      </c>
      <c r="D7" s="51">
        <v>53.020000457763672</v>
      </c>
      <c r="E7">
        <v>58.78</v>
      </c>
      <c r="F7" s="51">
        <v>5120.6395930480967</v>
      </c>
    </row>
    <row r="8" spans="1:6" x14ac:dyDescent="0.25">
      <c r="A8" t="s">
        <v>94</v>
      </c>
      <c r="B8" t="s">
        <v>40</v>
      </c>
      <c r="C8">
        <v>84</v>
      </c>
      <c r="D8" s="51">
        <v>60.869998931884766</v>
      </c>
      <c r="E8">
        <v>68.489999999999995</v>
      </c>
      <c r="F8" s="51">
        <v>640.08008972167931</v>
      </c>
    </row>
    <row r="9" spans="1:6" x14ac:dyDescent="0.25">
      <c r="A9" t="s">
        <v>95</v>
      </c>
      <c r="B9" t="s">
        <v>96</v>
      </c>
      <c r="C9">
        <v>814</v>
      </c>
      <c r="D9" s="51">
        <v>106.72000122070313</v>
      </c>
      <c r="E9">
        <v>115.11</v>
      </c>
      <c r="F9" s="51">
        <v>6829.4590063476562</v>
      </c>
    </row>
    <row r="10" spans="1:6" x14ac:dyDescent="0.25">
      <c r="A10" t="s">
        <v>97</v>
      </c>
      <c r="B10" t="s">
        <v>40</v>
      </c>
      <c r="C10">
        <v>231</v>
      </c>
      <c r="D10" s="51">
        <v>51.700000762939453</v>
      </c>
      <c r="E10">
        <v>49.45</v>
      </c>
      <c r="F10" s="51">
        <v>-519.75017623901306</v>
      </c>
    </row>
    <row r="11" spans="1:6" x14ac:dyDescent="0.25">
      <c r="A11" t="s">
        <v>98</v>
      </c>
      <c r="B11" t="s">
        <v>96</v>
      </c>
      <c r="C11">
        <v>772</v>
      </c>
      <c r="D11" s="51">
        <v>71.080001831054688</v>
      </c>
      <c r="E11">
        <v>77.56</v>
      </c>
      <c r="F11" s="51">
        <v>5002.5585864257828</v>
      </c>
    </row>
    <row r="12" spans="1:6" x14ac:dyDescent="0.25">
      <c r="A12" t="s">
        <v>99</v>
      </c>
      <c r="B12" t="s">
        <v>37</v>
      </c>
      <c r="C12">
        <v>1049</v>
      </c>
      <c r="D12" s="51">
        <v>87.110000610351563</v>
      </c>
      <c r="E12">
        <v>84.48</v>
      </c>
      <c r="F12" s="51">
        <v>-2758.870640258785</v>
      </c>
    </row>
    <row r="13" spans="1:6" x14ac:dyDescent="0.25">
      <c r="A13" t="s">
        <v>100</v>
      </c>
      <c r="B13" t="s">
        <v>43</v>
      </c>
      <c r="C13">
        <v>992</v>
      </c>
      <c r="D13" s="51">
        <v>26.819999694824219</v>
      </c>
      <c r="E13">
        <v>32</v>
      </c>
      <c r="F13" s="51">
        <v>5138.560302734375</v>
      </c>
    </row>
    <row r="14" spans="1:6" x14ac:dyDescent="0.25">
      <c r="A14" t="s">
        <v>101</v>
      </c>
      <c r="B14" t="s">
        <v>40</v>
      </c>
      <c r="C14">
        <v>242</v>
      </c>
      <c r="D14" s="51">
        <v>104.83000183105469</v>
      </c>
      <c r="E14">
        <v>82.38</v>
      </c>
      <c r="F14" s="51">
        <v>-5432.9004431152352</v>
      </c>
    </row>
    <row r="15" spans="1:6" x14ac:dyDescent="0.25">
      <c r="A15" t="s">
        <v>102</v>
      </c>
      <c r="B15" t="s">
        <v>90</v>
      </c>
      <c r="C15">
        <v>785</v>
      </c>
      <c r="D15" s="51">
        <v>31.200000762939453</v>
      </c>
      <c r="E15">
        <v>39.130000000000003</v>
      </c>
      <c r="F15" s="51">
        <v>6225.0494010925313</v>
      </c>
    </row>
    <row r="16" spans="1:6" x14ac:dyDescent="0.25">
      <c r="A16" t="s">
        <v>103</v>
      </c>
      <c r="B16" t="s">
        <v>37</v>
      </c>
      <c r="C16">
        <v>848</v>
      </c>
      <c r="D16" s="51">
        <v>44.169998168945313</v>
      </c>
      <c r="E16">
        <v>52.88</v>
      </c>
      <c r="F16" s="51">
        <v>7386.0815527343775</v>
      </c>
    </row>
    <row r="17" spans="1:6" x14ac:dyDescent="0.25">
      <c r="A17" t="s">
        <v>104</v>
      </c>
      <c r="B17" t="s">
        <v>105</v>
      </c>
      <c r="C17">
        <v>1038</v>
      </c>
      <c r="D17" s="51">
        <v>68.05999755859375</v>
      </c>
      <c r="E17">
        <v>86.08</v>
      </c>
      <c r="F17" s="51">
        <v>18704.762534179685</v>
      </c>
    </row>
    <row r="18" spans="1:6" x14ac:dyDescent="0.25">
      <c r="A18" t="s">
        <v>106</v>
      </c>
      <c r="B18" t="s">
        <v>43</v>
      </c>
      <c r="C18">
        <v>730</v>
      </c>
      <c r="D18" s="51">
        <v>96.010002136230469</v>
      </c>
      <c r="E18">
        <v>83.34</v>
      </c>
      <c r="F18" s="51">
        <v>-9249.1015594482396</v>
      </c>
    </row>
    <row r="19" spans="1:6" x14ac:dyDescent="0.25">
      <c r="A19" t="s">
        <v>107</v>
      </c>
      <c r="B19" t="s">
        <v>90</v>
      </c>
      <c r="C19">
        <v>715</v>
      </c>
      <c r="D19" s="51">
        <v>97.80999755859375</v>
      </c>
      <c r="E19">
        <v>101.51</v>
      </c>
      <c r="F19" s="51">
        <v>2645.5017456054725</v>
      </c>
    </row>
    <row r="20" spans="1:6" x14ac:dyDescent="0.25">
      <c r="A20" t="s">
        <v>108</v>
      </c>
      <c r="B20" t="s">
        <v>46</v>
      </c>
      <c r="C20">
        <v>80</v>
      </c>
      <c r="D20" s="51">
        <v>52.759998321533203</v>
      </c>
      <c r="E20">
        <v>44.04</v>
      </c>
      <c r="F20" s="51">
        <v>-697.59986572265632</v>
      </c>
    </row>
    <row r="21" spans="1:6" x14ac:dyDescent="0.25">
      <c r="A21" t="s">
        <v>109</v>
      </c>
      <c r="B21" t="s">
        <v>40</v>
      </c>
      <c r="C21">
        <v>360</v>
      </c>
      <c r="D21" s="51">
        <v>107.41000366210938</v>
      </c>
      <c r="E21">
        <v>119</v>
      </c>
      <c r="F21" s="51">
        <v>4172.398681640625</v>
      </c>
    </row>
    <row r="22" spans="1:6" x14ac:dyDescent="0.25">
      <c r="A22" t="s">
        <v>110</v>
      </c>
      <c r="B22" t="s">
        <v>43</v>
      </c>
      <c r="C22">
        <v>918</v>
      </c>
      <c r="D22" s="51">
        <v>58.419998168945313</v>
      </c>
      <c r="E22">
        <v>70.41</v>
      </c>
      <c r="F22" s="51">
        <v>11006.821680908201</v>
      </c>
    </row>
    <row r="23" spans="1:6" x14ac:dyDescent="0.25">
      <c r="A23" t="s">
        <v>111</v>
      </c>
      <c r="B23" t="s">
        <v>90</v>
      </c>
      <c r="C23">
        <v>595</v>
      </c>
      <c r="D23" s="51">
        <v>60.380001068115234</v>
      </c>
      <c r="E23">
        <v>74.37</v>
      </c>
      <c r="F23" s="51">
        <v>8324.0493644714388</v>
      </c>
    </row>
    <row r="24" spans="1:6" x14ac:dyDescent="0.25">
      <c r="A24" t="s">
        <v>112</v>
      </c>
      <c r="B24" t="s">
        <v>55</v>
      </c>
      <c r="C24">
        <v>593</v>
      </c>
      <c r="D24" s="51">
        <v>58.560001373291016</v>
      </c>
      <c r="E24">
        <v>50.34</v>
      </c>
      <c r="F24" s="51">
        <v>-4874.4608143615706</v>
      </c>
    </row>
    <row r="25" spans="1:6" x14ac:dyDescent="0.25">
      <c r="A25" t="s">
        <v>113</v>
      </c>
      <c r="B25" t="s">
        <v>105</v>
      </c>
      <c r="C25">
        <v>619</v>
      </c>
      <c r="D25" s="51">
        <v>46.810001373291016</v>
      </c>
      <c r="E25">
        <v>60.27</v>
      </c>
      <c r="F25" s="51">
        <v>8331.7391499328642</v>
      </c>
    </row>
    <row r="26" spans="1:6" x14ac:dyDescent="0.25">
      <c r="A26" t="s">
        <v>114</v>
      </c>
      <c r="B26" t="s">
        <v>90</v>
      </c>
      <c r="C26">
        <v>279</v>
      </c>
      <c r="D26" s="51">
        <v>50.290000915527344</v>
      </c>
      <c r="E26">
        <v>37.71</v>
      </c>
      <c r="F26" s="51">
        <v>-3509.8202554321288</v>
      </c>
    </row>
    <row r="27" spans="1:6" x14ac:dyDescent="0.25">
      <c r="A27" t="s">
        <v>115</v>
      </c>
      <c r="B27" t="s">
        <v>43</v>
      </c>
      <c r="C27">
        <v>711</v>
      </c>
      <c r="D27" s="51">
        <v>33.349998474121094</v>
      </c>
      <c r="E27">
        <v>32.54</v>
      </c>
      <c r="F27" s="51">
        <v>-575.90891510009828</v>
      </c>
    </row>
    <row r="28" spans="1:6" x14ac:dyDescent="0.25">
      <c r="A28" t="s">
        <v>116</v>
      </c>
      <c r="B28" t="s">
        <v>55</v>
      </c>
      <c r="C28">
        <v>483</v>
      </c>
      <c r="D28" s="51">
        <v>32.290000915527344</v>
      </c>
      <c r="E28">
        <v>38.729999999999997</v>
      </c>
      <c r="F28" s="51">
        <v>3110.5195578002913</v>
      </c>
    </row>
    <row r="29" spans="1:6" x14ac:dyDescent="0.25">
      <c r="A29" t="s">
        <v>117</v>
      </c>
      <c r="B29" t="s">
        <v>105</v>
      </c>
      <c r="C29">
        <v>727</v>
      </c>
      <c r="D29" s="51">
        <v>13.220000267028809</v>
      </c>
      <c r="E29">
        <v>9.5</v>
      </c>
      <c r="F29" s="51">
        <v>-2704.4401941299438</v>
      </c>
    </row>
    <row r="30" spans="1:6" x14ac:dyDescent="0.25">
      <c r="A30" t="s">
        <v>118</v>
      </c>
      <c r="B30" t="s">
        <v>40</v>
      </c>
      <c r="C30">
        <v>535</v>
      </c>
      <c r="D30" s="51">
        <v>54.810001373291016</v>
      </c>
      <c r="E30">
        <v>55.04</v>
      </c>
      <c r="F30" s="51">
        <v>123.04926528930619</v>
      </c>
    </row>
    <row r="31" spans="1:6" x14ac:dyDescent="0.25">
      <c r="A31" t="s">
        <v>119</v>
      </c>
      <c r="B31" t="s">
        <v>43</v>
      </c>
      <c r="C31">
        <v>599</v>
      </c>
      <c r="D31" s="51">
        <v>56.180000305175781</v>
      </c>
      <c r="E31">
        <v>42.69</v>
      </c>
      <c r="F31" s="51">
        <v>-8080.5101828002944</v>
      </c>
    </row>
    <row r="32" spans="1:6" x14ac:dyDescent="0.25">
      <c r="A32" t="s">
        <v>120</v>
      </c>
      <c r="B32" t="s">
        <v>105</v>
      </c>
      <c r="C32">
        <v>98</v>
      </c>
      <c r="D32" s="51">
        <v>69.660003662109375</v>
      </c>
      <c r="E32">
        <v>50.95</v>
      </c>
      <c r="F32" s="51">
        <v>-1833.5803588867184</v>
      </c>
    </row>
    <row r="33" spans="1:6" x14ac:dyDescent="0.25">
      <c r="A33" t="s">
        <v>121</v>
      </c>
      <c r="B33" t="s">
        <v>37</v>
      </c>
      <c r="C33">
        <v>841</v>
      </c>
      <c r="D33" s="51">
        <v>58.590000152587891</v>
      </c>
      <c r="E33">
        <v>50.73</v>
      </c>
      <c r="F33" s="51">
        <v>-6610.2601283264185</v>
      </c>
    </row>
    <row r="34" spans="1:6" x14ac:dyDescent="0.25">
      <c r="A34" t="s">
        <v>122</v>
      </c>
      <c r="B34" t="s">
        <v>96</v>
      </c>
      <c r="C34">
        <v>659</v>
      </c>
      <c r="D34" s="51">
        <v>80.19000244140625</v>
      </c>
      <c r="E34">
        <v>97.88</v>
      </c>
      <c r="F34" s="51">
        <v>11657.708391113278</v>
      </c>
    </row>
    <row r="35" spans="1:6" x14ac:dyDescent="0.25">
      <c r="A35" t="s">
        <v>123</v>
      </c>
      <c r="B35" t="s">
        <v>105</v>
      </c>
      <c r="C35">
        <v>1043</v>
      </c>
      <c r="D35" s="51">
        <v>93.330001831054688</v>
      </c>
      <c r="E35">
        <v>114.23</v>
      </c>
      <c r="F35" s="51">
        <v>21798.698090209964</v>
      </c>
    </row>
    <row r="36" spans="1:6" x14ac:dyDescent="0.25">
      <c r="A36" t="s">
        <v>124</v>
      </c>
      <c r="B36" t="s">
        <v>105</v>
      </c>
      <c r="C36">
        <v>1036</v>
      </c>
      <c r="D36" s="51">
        <v>91.349998474121094</v>
      </c>
      <c r="E36">
        <v>80.66</v>
      </c>
      <c r="F36" s="51">
        <v>-11074.838419189457</v>
      </c>
    </row>
    <row r="37" spans="1:6" x14ac:dyDescent="0.25">
      <c r="A37" t="s">
        <v>125</v>
      </c>
      <c r="B37" t="s">
        <v>55</v>
      </c>
      <c r="C37">
        <v>374</v>
      </c>
      <c r="D37" s="51">
        <v>59.869998931884766</v>
      </c>
      <c r="E37">
        <v>56.52</v>
      </c>
      <c r="F37" s="51">
        <v>-1252.8996005249012</v>
      </c>
    </row>
    <row r="38" spans="1:6" x14ac:dyDescent="0.25">
      <c r="A38" t="s">
        <v>126</v>
      </c>
      <c r="B38" t="s">
        <v>37</v>
      </c>
      <c r="C38">
        <v>874</v>
      </c>
      <c r="D38" s="51">
        <v>59.630001068115234</v>
      </c>
      <c r="E38">
        <v>47.8</v>
      </c>
      <c r="F38" s="51">
        <v>-10339.420933532718</v>
      </c>
    </row>
    <row r="39" spans="1:6" x14ac:dyDescent="0.25">
      <c r="A39" t="s">
        <v>127</v>
      </c>
      <c r="B39" t="s">
        <v>105</v>
      </c>
      <c r="C39">
        <v>79</v>
      </c>
      <c r="D39" s="51">
        <v>34.240001678466797</v>
      </c>
      <c r="E39">
        <v>25.94</v>
      </c>
      <c r="F39" s="51">
        <v>-655.70013259887685</v>
      </c>
    </row>
    <row r="40" spans="1:6" x14ac:dyDescent="0.25">
      <c r="A40" t="s">
        <v>128</v>
      </c>
      <c r="B40" t="s">
        <v>105</v>
      </c>
      <c r="C40">
        <v>145</v>
      </c>
      <c r="D40" s="51">
        <v>43.080001831054688</v>
      </c>
      <c r="E40">
        <v>35.81</v>
      </c>
      <c r="F40" s="51">
        <v>-1054.1502655029294</v>
      </c>
    </row>
    <row r="41" spans="1:6" x14ac:dyDescent="0.25">
      <c r="A41" t="s">
        <v>129</v>
      </c>
      <c r="B41" t="s">
        <v>52</v>
      </c>
      <c r="C41">
        <v>984</v>
      </c>
      <c r="D41" s="51">
        <v>19.020000457763672</v>
      </c>
      <c r="E41">
        <v>17.46</v>
      </c>
      <c r="F41" s="51">
        <v>-1535.0404504394523</v>
      </c>
    </row>
    <row r="42" spans="1:6" x14ac:dyDescent="0.25">
      <c r="A42" t="s">
        <v>130</v>
      </c>
      <c r="B42" t="s">
        <v>37</v>
      </c>
      <c r="C42">
        <v>652</v>
      </c>
      <c r="D42" s="51">
        <v>51.319999694824219</v>
      </c>
      <c r="E42">
        <v>56.41</v>
      </c>
      <c r="F42" s="51">
        <v>3318.6801989746073</v>
      </c>
    </row>
    <row r="43" spans="1:6" x14ac:dyDescent="0.25">
      <c r="A43" t="s">
        <v>131</v>
      </c>
      <c r="B43" t="s">
        <v>40</v>
      </c>
      <c r="C43">
        <v>992</v>
      </c>
      <c r="D43" s="51">
        <v>93.370002746582031</v>
      </c>
      <c r="E43">
        <v>84.12</v>
      </c>
      <c r="F43" s="51">
        <v>-9176.0027246093705</v>
      </c>
    </row>
    <row r="44" spans="1:6" x14ac:dyDescent="0.25">
      <c r="A44" t="s">
        <v>132</v>
      </c>
      <c r="B44" t="s">
        <v>96</v>
      </c>
      <c r="C44">
        <v>523</v>
      </c>
      <c r="D44" s="51">
        <v>95.540000915527344</v>
      </c>
      <c r="E44">
        <v>105.47</v>
      </c>
      <c r="F44" s="51">
        <v>5193.3895211791987</v>
      </c>
    </row>
    <row r="45" spans="1:6" x14ac:dyDescent="0.25">
      <c r="A45" t="s">
        <v>133</v>
      </c>
      <c r="B45" t="s">
        <v>37</v>
      </c>
      <c r="C45">
        <v>583</v>
      </c>
      <c r="D45" s="51">
        <v>63</v>
      </c>
      <c r="E45">
        <v>56.89</v>
      </c>
      <c r="F45" s="51">
        <v>-3562.1299999999997</v>
      </c>
    </row>
    <row r="46" spans="1:6" x14ac:dyDescent="0.25">
      <c r="A46" t="s">
        <v>134</v>
      </c>
      <c r="B46" t="s">
        <v>46</v>
      </c>
      <c r="C46">
        <v>716</v>
      </c>
      <c r="D46" s="51">
        <v>38.490001678466797</v>
      </c>
      <c r="E46">
        <v>46.81</v>
      </c>
      <c r="F46" s="51">
        <v>5957.1187982177753</v>
      </c>
    </row>
    <row r="47" spans="1:6" x14ac:dyDescent="0.25">
      <c r="A47" t="s">
        <v>135</v>
      </c>
      <c r="B47" t="s">
        <v>40</v>
      </c>
      <c r="C47">
        <v>316</v>
      </c>
      <c r="D47" s="51">
        <v>10.170000076293945</v>
      </c>
      <c r="E47">
        <v>9.6</v>
      </c>
      <c r="F47" s="51">
        <v>-180.12002410888684</v>
      </c>
    </row>
    <row r="48" spans="1:6" x14ac:dyDescent="0.25">
      <c r="A48" t="s">
        <v>136</v>
      </c>
      <c r="B48" t="s">
        <v>37</v>
      </c>
      <c r="C48">
        <v>517</v>
      </c>
      <c r="D48" s="51">
        <v>44.450000762939453</v>
      </c>
      <c r="E48">
        <v>52.36</v>
      </c>
      <c r="F48" s="51">
        <v>4089.4696055603026</v>
      </c>
    </row>
    <row r="49" spans="1:6" x14ac:dyDescent="0.25">
      <c r="A49" t="s">
        <v>137</v>
      </c>
      <c r="B49" t="s">
        <v>90</v>
      </c>
      <c r="C49">
        <v>330</v>
      </c>
      <c r="D49" s="51">
        <v>43.740001678466797</v>
      </c>
      <c r="E49">
        <v>50.89</v>
      </c>
      <c r="F49" s="51">
        <v>2359.4994461059573</v>
      </c>
    </row>
    <row r="50" spans="1:6" x14ac:dyDescent="0.25">
      <c r="A50" t="s">
        <v>138</v>
      </c>
      <c r="B50" t="s">
        <v>48</v>
      </c>
      <c r="C50">
        <v>1039</v>
      </c>
      <c r="D50" s="51">
        <v>29.319999694824219</v>
      </c>
      <c r="E50">
        <v>29.45</v>
      </c>
      <c r="F50" s="51">
        <v>135.07031707763599</v>
      </c>
    </row>
    <row r="51" spans="1:6" x14ac:dyDescent="0.25">
      <c r="A51" t="s">
        <v>139</v>
      </c>
      <c r="B51" t="s">
        <v>52</v>
      </c>
      <c r="C51">
        <v>838</v>
      </c>
      <c r="D51" s="51">
        <v>49.099998474121094</v>
      </c>
      <c r="E51">
        <v>45.44</v>
      </c>
      <c r="F51" s="51">
        <v>-3067.0787213134786</v>
      </c>
    </row>
    <row r="52" spans="1:6" x14ac:dyDescent="0.25">
      <c r="A52" t="s">
        <v>140</v>
      </c>
      <c r="B52" t="s">
        <v>105</v>
      </c>
      <c r="C52">
        <v>724</v>
      </c>
      <c r="D52" s="51">
        <v>10.510000228881836</v>
      </c>
      <c r="E52">
        <v>13.46</v>
      </c>
      <c r="F52" s="51">
        <v>2135.7998342895512</v>
      </c>
    </row>
    <row r="53" spans="1:6" x14ac:dyDescent="0.25">
      <c r="A53" t="s">
        <v>141</v>
      </c>
      <c r="B53" t="s">
        <v>90</v>
      </c>
      <c r="C53">
        <v>635</v>
      </c>
      <c r="D53" s="51">
        <v>38.220001220703125</v>
      </c>
      <c r="E53">
        <v>34.94</v>
      </c>
      <c r="F53" s="51">
        <v>-2082.8007751464856</v>
      </c>
    </row>
    <row r="54" spans="1:6" x14ac:dyDescent="0.25">
      <c r="A54" t="s">
        <v>142</v>
      </c>
      <c r="B54" t="s">
        <v>48</v>
      </c>
      <c r="C54">
        <v>842</v>
      </c>
      <c r="D54" s="51">
        <v>57.020000457763672</v>
      </c>
      <c r="E54">
        <v>60.81</v>
      </c>
      <c r="F54" s="51">
        <v>3191.1796145629901</v>
      </c>
    </row>
    <row r="55" spans="1:6" x14ac:dyDescent="0.25">
      <c r="A55" t="s">
        <v>143</v>
      </c>
      <c r="B55" t="s">
        <v>48</v>
      </c>
      <c r="C55">
        <v>592</v>
      </c>
      <c r="D55" s="51">
        <v>99.610000610351563</v>
      </c>
      <c r="E55">
        <v>103.24</v>
      </c>
      <c r="F55" s="51">
        <v>2148.9596386718722</v>
      </c>
    </row>
    <row r="56" spans="1:6" x14ac:dyDescent="0.25">
      <c r="A56" t="s">
        <v>144</v>
      </c>
      <c r="B56" t="s">
        <v>37</v>
      </c>
      <c r="C56">
        <v>992</v>
      </c>
      <c r="D56" s="51">
        <v>39.409999847412109</v>
      </c>
      <c r="E56">
        <v>46.91</v>
      </c>
      <c r="F56" s="51">
        <v>7440.0001513671841</v>
      </c>
    </row>
    <row r="57" spans="1:6" x14ac:dyDescent="0.25">
      <c r="A57" t="s">
        <v>145</v>
      </c>
      <c r="B57" t="s">
        <v>46</v>
      </c>
      <c r="C57">
        <v>159</v>
      </c>
      <c r="D57" s="51">
        <v>48.369998931884766</v>
      </c>
      <c r="E57">
        <v>34.85</v>
      </c>
      <c r="F57" s="51">
        <v>-2149.6798301696776</v>
      </c>
    </row>
    <row r="58" spans="1:6" x14ac:dyDescent="0.25">
      <c r="A58" t="s">
        <v>146</v>
      </c>
      <c r="B58" t="s">
        <v>48</v>
      </c>
      <c r="C58">
        <v>600</v>
      </c>
      <c r="D58" s="51">
        <v>79.790000915527344</v>
      </c>
      <c r="E58">
        <v>76.180000000000007</v>
      </c>
      <c r="F58" s="51">
        <v>-2166.0005493164022</v>
      </c>
    </row>
    <row r="59" spans="1:6" x14ac:dyDescent="0.25">
      <c r="A59" t="s">
        <v>147</v>
      </c>
      <c r="B59" t="s">
        <v>52</v>
      </c>
      <c r="C59">
        <v>863</v>
      </c>
      <c r="D59" s="51">
        <v>76.150001525878906</v>
      </c>
      <c r="E59">
        <v>77.400000000000006</v>
      </c>
      <c r="F59" s="51">
        <v>1078.7486831665087</v>
      </c>
    </row>
    <row r="60" spans="1:6" x14ac:dyDescent="0.25">
      <c r="A60" t="s">
        <v>148</v>
      </c>
      <c r="B60" t="s">
        <v>48</v>
      </c>
      <c r="C60">
        <v>420</v>
      </c>
      <c r="D60" s="51">
        <v>101.86000061035156</v>
      </c>
      <c r="E60">
        <v>84.87</v>
      </c>
      <c r="F60" s="51">
        <v>-7135.8002563476548</v>
      </c>
    </row>
    <row r="61" spans="1:6" x14ac:dyDescent="0.25">
      <c r="A61" t="s">
        <v>149</v>
      </c>
      <c r="B61" t="s">
        <v>43</v>
      </c>
      <c r="C61">
        <v>811</v>
      </c>
      <c r="D61" s="51">
        <v>101.16000366210938</v>
      </c>
      <c r="E61">
        <v>131.16999999999999</v>
      </c>
      <c r="F61" s="51">
        <v>24338.107030029285</v>
      </c>
    </row>
    <row r="62" spans="1:6" x14ac:dyDescent="0.25">
      <c r="A62" t="s">
        <v>150</v>
      </c>
      <c r="B62" t="s">
        <v>90</v>
      </c>
      <c r="C62">
        <v>1034</v>
      </c>
      <c r="D62" s="51">
        <v>80.849998474121094</v>
      </c>
      <c r="E62">
        <v>78.540000000000006</v>
      </c>
      <c r="F62" s="51">
        <v>-2388.5384222412044</v>
      </c>
    </row>
    <row r="63" spans="1:6" x14ac:dyDescent="0.25">
      <c r="A63" t="s">
        <v>151</v>
      </c>
      <c r="B63" t="s">
        <v>43</v>
      </c>
      <c r="C63">
        <v>187</v>
      </c>
      <c r="D63" s="51">
        <v>18.170000076293945</v>
      </c>
      <c r="E63">
        <v>13.72</v>
      </c>
      <c r="F63" s="51">
        <v>-832.15001426696767</v>
      </c>
    </row>
    <row r="64" spans="1:6" x14ac:dyDescent="0.25">
      <c r="A64" t="s">
        <v>152</v>
      </c>
      <c r="B64" t="s">
        <v>46</v>
      </c>
      <c r="C64">
        <v>354</v>
      </c>
      <c r="D64" s="51">
        <v>93.569999694824219</v>
      </c>
      <c r="E64">
        <v>82.99</v>
      </c>
      <c r="F64" s="51">
        <v>-3745.3198919677752</v>
      </c>
    </row>
    <row r="65" spans="1:6" x14ac:dyDescent="0.25">
      <c r="A65" t="s">
        <v>153</v>
      </c>
      <c r="B65" t="s">
        <v>48</v>
      </c>
      <c r="C65">
        <v>752</v>
      </c>
      <c r="D65" s="51">
        <v>48.529998779296875</v>
      </c>
      <c r="E65">
        <v>53.76</v>
      </c>
      <c r="F65" s="51">
        <v>3932.9609179687486</v>
      </c>
    </row>
    <row r="66" spans="1:6" x14ac:dyDescent="0.25">
      <c r="A66" t="s">
        <v>154</v>
      </c>
      <c r="B66" t="s">
        <v>52</v>
      </c>
      <c r="C66">
        <v>118</v>
      </c>
      <c r="D66" s="51">
        <v>68.379997253417969</v>
      </c>
      <c r="E66">
        <v>66.27</v>
      </c>
      <c r="F66" s="51">
        <v>-248.97967590332078</v>
      </c>
    </row>
    <row r="67" spans="1:6" x14ac:dyDescent="0.25">
      <c r="A67" t="s">
        <v>155</v>
      </c>
      <c r="B67" t="s">
        <v>48</v>
      </c>
      <c r="C67">
        <v>348</v>
      </c>
      <c r="D67" s="51">
        <v>90.129997253417969</v>
      </c>
      <c r="E67">
        <v>80.44</v>
      </c>
      <c r="F67" s="51">
        <v>-3372.1190441894541</v>
      </c>
    </row>
    <row r="68" spans="1:6" x14ac:dyDescent="0.25">
      <c r="A68" t="s">
        <v>156</v>
      </c>
      <c r="B68" t="s">
        <v>48</v>
      </c>
      <c r="C68">
        <v>393</v>
      </c>
      <c r="D68" s="51">
        <v>35.229999542236328</v>
      </c>
      <c r="E68">
        <v>34.49</v>
      </c>
      <c r="F68" s="51">
        <v>-290.81982009887616</v>
      </c>
    </row>
    <row r="69" spans="1:6" x14ac:dyDescent="0.25">
      <c r="A69" t="s">
        <v>157</v>
      </c>
      <c r="B69" t="s">
        <v>55</v>
      </c>
      <c r="C69">
        <v>393</v>
      </c>
      <c r="D69" s="51">
        <v>67.44000244140625</v>
      </c>
      <c r="E69">
        <v>78.819999999999993</v>
      </c>
      <c r="F69" s="51">
        <v>4472.3390405273412</v>
      </c>
    </row>
    <row r="70" spans="1:6" x14ac:dyDescent="0.25">
      <c r="A70" t="s">
        <v>158</v>
      </c>
      <c r="B70" t="s">
        <v>43</v>
      </c>
      <c r="C70">
        <v>73</v>
      </c>
      <c r="D70" s="51">
        <v>75.599998474121094</v>
      </c>
      <c r="E70">
        <v>71.81</v>
      </c>
      <c r="F70" s="51">
        <v>-276.66988861083968</v>
      </c>
    </row>
    <row r="71" spans="1:6" x14ac:dyDescent="0.25">
      <c r="A71" t="s">
        <v>159</v>
      </c>
      <c r="B71" t="s">
        <v>90</v>
      </c>
      <c r="C71">
        <v>383</v>
      </c>
      <c r="D71" s="51">
        <v>81.480003356933594</v>
      </c>
      <c r="E71">
        <v>82.97</v>
      </c>
      <c r="F71" s="51">
        <v>570.66871429443313</v>
      </c>
    </row>
    <row r="72" spans="1:6" x14ac:dyDescent="0.25">
      <c r="A72" t="s">
        <v>160</v>
      </c>
      <c r="B72" t="s">
        <v>90</v>
      </c>
      <c r="C72">
        <v>383</v>
      </c>
      <c r="D72" s="51">
        <v>72.55999755859375</v>
      </c>
      <c r="E72">
        <v>64.34</v>
      </c>
      <c r="F72" s="51">
        <v>-3148.2590649414051</v>
      </c>
    </row>
    <row r="73" spans="1:6" x14ac:dyDescent="0.25">
      <c r="A73" t="s">
        <v>161</v>
      </c>
      <c r="B73" t="s">
        <v>46</v>
      </c>
      <c r="C73">
        <v>392</v>
      </c>
      <c r="D73" s="51">
        <v>59.840000152587891</v>
      </c>
      <c r="E73">
        <v>50.53</v>
      </c>
      <c r="F73" s="51">
        <v>-3649.5200598144529</v>
      </c>
    </row>
    <row r="74" spans="1:6" x14ac:dyDescent="0.25">
      <c r="A74" t="s">
        <v>162</v>
      </c>
      <c r="B74" t="s">
        <v>37</v>
      </c>
      <c r="C74">
        <v>373</v>
      </c>
      <c r="D74" s="51">
        <v>60.709999084472656</v>
      </c>
      <c r="E74">
        <v>64.73</v>
      </c>
      <c r="F74" s="51">
        <v>1499.4603414917008</v>
      </c>
    </row>
    <row r="75" spans="1:6" x14ac:dyDescent="0.25">
      <c r="A75" t="s">
        <v>163</v>
      </c>
      <c r="B75" t="s">
        <v>37</v>
      </c>
      <c r="C75">
        <v>575</v>
      </c>
      <c r="D75" s="51">
        <v>106.68000030517578</v>
      </c>
      <c r="E75">
        <v>93.06</v>
      </c>
      <c r="F75" s="51">
        <v>-7831.5001754760733</v>
      </c>
    </row>
    <row r="76" spans="1:6" x14ac:dyDescent="0.25">
      <c r="A76" t="s">
        <v>164</v>
      </c>
      <c r="B76" t="s">
        <v>37</v>
      </c>
      <c r="C76">
        <v>423</v>
      </c>
      <c r="D76" s="51">
        <v>76.239997863769531</v>
      </c>
      <c r="E76">
        <v>86.71</v>
      </c>
      <c r="F76" s="51">
        <v>4428.8109036254855</v>
      </c>
    </row>
    <row r="77" spans="1:6" x14ac:dyDescent="0.25">
      <c r="A77" t="s">
        <v>165</v>
      </c>
      <c r="B77" t="s">
        <v>52</v>
      </c>
      <c r="C77">
        <v>661</v>
      </c>
      <c r="D77" s="51">
        <v>52.689998626708984</v>
      </c>
      <c r="E77">
        <v>44.76</v>
      </c>
      <c r="F77" s="51">
        <v>-5241.7290922546399</v>
      </c>
    </row>
    <row r="78" spans="1:6" x14ac:dyDescent="0.25">
      <c r="A78" t="s">
        <v>166</v>
      </c>
      <c r="B78" t="s">
        <v>55</v>
      </c>
      <c r="C78">
        <v>741</v>
      </c>
      <c r="D78" s="51">
        <v>106.90000152587891</v>
      </c>
      <c r="E78">
        <v>109.09</v>
      </c>
      <c r="F78" s="51">
        <v>1622.788869323733</v>
      </c>
    </row>
    <row r="79" spans="1:6" x14ac:dyDescent="0.25">
      <c r="A79" t="s">
        <v>167</v>
      </c>
      <c r="B79" t="s">
        <v>48</v>
      </c>
      <c r="C79">
        <v>461</v>
      </c>
      <c r="D79" s="51">
        <v>105.16999816894531</v>
      </c>
      <c r="E79">
        <v>99.35</v>
      </c>
      <c r="F79" s="51">
        <v>-2683.0191558837919</v>
      </c>
    </row>
    <row r="80" spans="1:6" x14ac:dyDescent="0.25">
      <c r="A80" t="s">
        <v>168</v>
      </c>
      <c r="B80" t="s">
        <v>52</v>
      </c>
      <c r="C80">
        <v>861</v>
      </c>
      <c r="D80" s="51">
        <v>42</v>
      </c>
      <c r="E80">
        <v>50.74</v>
      </c>
      <c r="F80" s="51">
        <v>7525.1400000000021</v>
      </c>
    </row>
    <row r="81" spans="1:6" x14ac:dyDescent="0.25">
      <c r="A81" t="s">
        <v>169</v>
      </c>
      <c r="B81" t="s">
        <v>105</v>
      </c>
      <c r="C81">
        <v>360</v>
      </c>
      <c r="D81" s="51">
        <v>97.94000244140625</v>
      </c>
      <c r="E81">
        <v>83.14</v>
      </c>
      <c r="F81" s="51">
        <v>-5328.0008789062495</v>
      </c>
    </row>
    <row r="82" spans="1:6" x14ac:dyDescent="0.25">
      <c r="A82" t="s">
        <v>170</v>
      </c>
      <c r="B82" t="s">
        <v>55</v>
      </c>
      <c r="C82">
        <v>148</v>
      </c>
      <c r="D82" s="51">
        <v>22.389999389648438</v>
      </c>
      <c r="E82">
        <v>28.32</v>
      </c>
      <c r="F82" s="51">
        <v>877.64009033203126</v>
      </c>
    </row>
    <row r="83" spans="1:6" x14ac:dyDescent="0.25">
      <c r="A83" t="s">
        <v>171</v>
      </c>
      <c r="B83" t="s">
        <v>52</v>
      </c>
      <c r="C83">
        <v>824</v>
      </c>
      <c r="D83" s="51">
        <v>41.409999847412109</v>
      </c>
      <c r="E83">
        <v>52.79</v>
      </c>
      <c r="F83" s="51">
        <v>9377.120125732421</v>
      </c>
    </row>
    <row r="84" spans="1:6" x14ac:dyDescent="0.25">
      <c r="A84" t="s">
        <v>172</v>
      </c>
      <c r="B84" t="s">
        <v>96</v>
      </c>
      <c r="C84">
        <v>293</v>
      </c>
      <c r="D84" s="51">
        <v>90.519996643066406</v>
      </c>
      <c r="E84">
        <v>65.790000000000006</v>
      </c>
      <c r="F84" s="51">
        <v>-7245.889016418455</v>
      </c>
    </row>
    <row r="85" spans="1:6" x14ac:dyDescent="0.25">
      <c r="A85" t="s">
        <v>173</v>
      </c>
      <c r="B85" t="s">
        <v>46</v>
      </c>
      <c r="C85">
        <v>898</v>
      </c>
      <c r="D85" s="51">
        <v>72.540000915527344</v>
      </c>
      <c r="E85">
        <v>91.21</v>
      </c>
      <c r="F85" s="51">
        <v>16765.65917785644</v>
      </c>
    </row>
    <row r="86" spans="1:6" x14ac:dyDescent="0.25">
      <c r="A86" t="s">
        <v>174</v>
      </c>
      <c r="B86" t="s">
        <v>90</v>
      </c>
      <c r="C86">
        <v>817</v>
      </c>
      <c r="D86" s="51">
        <v>40.380001068115234</v>
      </c>
      <c r="E86">
        <v>48.53</v>
      </c>
      <c r="F86" s="51">
        <v>6658.5491273498546</v>
      </c>
    </row>
    <row r="87" spans="1:6" x14ac:dyDescent="0.25">
      <c r="A87" t="s">
        <v>175</v>
      </c>
      <c r="B87" t="s">
        <v>40</v>
      </c>
      <c r="C87">
        <v>702</v>
      </c>
      <c r="D87" s="51">
        <v>104.86000061035156</v>
      </c>
      <c r="E87">
        <v>89.44</v>
      </c>
      <c r="F87" s="51">
        <v>-10824.840428466798</v>
      </c>
    </row>
    <row r="88" spans="1:6" x14ac:dyDescent="0.25">
      <c r="A88" t="s">
        <v>176</v>
      </c>
      <c r="B88" t="s">
        <v>52</v>
      </c>
      <c r="C88">
        <v>568</v>
      </c>
      <c r="D88" s="51">
        <v>67.519996643066406</v>
      </c>
      <c r="E88">
        <v>85.77</v>
      </c>
      <c r="F88" s="51">
        <v>10366.001906738278</v>
      </c>
    </row>
    <row r="89" spans="1:6" x14ac:dyDescent="0.25">
      <c r="A89" t="s">
        <v>177</v>
      </c>
      <c r="B89" t="s">
        <v>90</v>
      </c>
      <c r="C89">
        <v>936</v>
      </c>
      <c r="D89" s="51">
        <v>78.449996948242188</v>
      </c>
      <c r="E89">
        <v>65.900000000000006</v>
      </c>
      <c r="F89" s="51">
        <v>-11746.797143554682</v>
      </c>
    </row>
    <row r="90" spans="1:6" x14ac:dyDescent="0.25">
      <c r="A90" t="s">
        <v>178</v>
      </c>
      <c r="B90" t="s">
        <v>52</v>
      </c>
      <c r="C90">
        <v>222</v>
      </c>
      <c r="D90" s="51">
        <v>19.059999465942383</v>
      </c>
      <c r="E90">
        <v>18.75</v>
      </c>
      <c r="F90" s="51">
        <v>-68.819881439208984</v>
      </c>
    </row>
    <row r="91" spans="1:6" x14ac:dyDescent="0.25">
      <c r="A91" t="s">
        <v>179</v>
      </c>
      <c r="B91" t="s">
        <v>55</v>
      </c>
      <c r="C91">
        <v>378</v>
      </c>
      <c r="D91" s="51">
        <v>109.95999908447266</v>
      </c>
      <c r="E91">
        <v>134.01</v>
      </c>
      <c r="F91" s="51">
        <v>9090.900346069333</v>
      </c>
    </row>
    <row r="92" spans="1:6" x14ac:dyDescent="0.25">
      <c r="A92" t="s">
        <v>180</v>
      </c>
      <c r="B92" t="s">
        <v>48</v>
      </c>
      <c r="C92">
        <v>783</v>
      </c>
      <c r="D92" s="51">
        <v>43.689998626708984</v>
      </c>
      <c r="E92">
        <v>42.21</v>
      </c>
      <c r="F92" s="51">
        <v>-1158.838924713134</v>
      </c>
    </row>
    <row r="93" spans="1:6" x14ac:dyDescent="0.25">
      <c r="A93" t="s">
        <v>181</v>
      </c>
      <c r="B93" t="s">
        <v>37</v>
      </c>
      <c r="C93">
        <v>384</v>
      </c>
      <c r="D93" s="51">
        <v>42.610000610351563</v>
      </c>
      <c r="E93">
        <v>38.840000000000003</v>
      </c>
      <c r="F93" s="51">
        <v>-1447.6802343749987</v>
      </c>
    </row>
    <row r="94" spans="1:6" x14ac:dyDescent="0.25">
      <c r="A94" t="s">
        <v>182</v>
      </c>
      <c r="B94" t="s">
        <v>96</v>
      </c>
      <c r="C94">
        <v>84</v>
      </c>
      <c r="D94" s="51">
        <v>41.650001525878906</v>
      </c>
      <c r="E94">
        <v>38.03</v>
      </c>
      <c r="F94" s="51">
        <v>-304.08012817382803</v>
      </c>
    </row>
    <row r="95" spans="1:6" x14ac:dyDescent="0.25">
      <c r="A95" t="s">
        <v>183</v>
      </c>
      <c r="B95" t="s">
        <v>46</v>
      </c>
      <c r="C95">
        <v>388</v>
      </c>
      <c r="D95" s="51">
        <v>96.169998168945313</v>
      </c>
      <c r="E95">
        <v>102.14</v>
      </c>
      <c r="F95" s="51">
        <v>2316.3607104492189</v>
      </c>
    </row>
    <row r="96" spans="1:6" x14ac:dyDescent="0.25">
      <c r="A96" t="s">
        <v>184</v>
      </c>
      <c r="B96" t="s">
        <v>43</v>
      </c>
      <c r="C96">
        <v>286</v>
      </c>
      <c r="D96" s="51">
        <v>14.739999771118164</v>
      </c>
      <c r="E96">
        <v>16.09</v>
      </c>
      <c r="F96" s="51">
        <v>386.10006546020503</v>
      </c>
    </row>
    <row r="97" spans="1:6" x14ac:dyDescent="0.25">
      <c r="A97" t="s">
        <v>185</v>
      </c>
      <c r="B97" t="s">
        <v>52</v>
      </c>
      <c r="C97">
        <v>402</v>
      </c>
      <c r="D97" s="51">
        <v>16.979999542236328</v>
      </c>
      <c r="E97">
        <v>19.3</v>
      </c>
      <c r="F97" s="51">
        <v>932.64018402099634</v>
      </c>
    </row>
    <row r="98" spans="1:6" x14ac:dyDescent="0.25">
      <c r="A98" t="s">
        <v>186</v>
      </c>
      <c r="B98" t="s">
        <v>37</v>
      </c>
      <c r="C98">
        <v>377</v>
      </c>
      <c r="D98" s="51">
        <v>16.340000152587891</v>
      </c>
      <c r="E98">
        <v>13.75</v>
      </c>
      <c r="F98" s="51">
        <v>-976.43005752563477</v>
      </c>
    </row>
    <row r="99" spans="1:6" x14ac:dyDescent="0.25">
      <c r="A99" t="s">
        <v>187</v>
      </c>
      <c r="B99" t="s">
        <v>46</v>
      </c>
      <c r="C99">
        <v>516</v>
      </c>
      <c r="D99" s="51">
        <v>27.940000534057617</v>
      </c>
      <c r="E99">
        <v>28.57</v>
      </c>
      <c r="F99" s="51">
        <v>325.07972442626965</v>
      </c>
    </row>
    <row r="100" spans="1:6" x14ac:dyDescent="0.25">
      <c r="A100" t="s">
        <v>188</v>
      </c>
      <c r="B100" t="s">
        <v>55</v>
      </c>
      <c r="C100">
        <v>675</v>
      </c>
      <c r="D100" s="51">
        <v>101.37999725341797</v>
      </c>
      <c r="E100">
        <v>129.19</v>
      </c>
      <c r="F100" s="51">
        <v>18771.751853942871</v>
      </c>
    </row>
    <row r="101" spans="1:6" x14ac:dyDescent="0.25">
      <c r="A101" t="s">
        <v>189</v>
      </c>
      <c r="B101" t="s">
        <v>105</v>
      </c>
      <c r="C101">
        <v>400</v>
      </c>
      <c r="D101" s="51">
        <v>78.519996643066406</v>
      </c>
      <c r="E101">
        <v>57.34</v>
      </c>
      <c r="F101" s="51">
        <v>-8471.9986572265607</v>
      </c>
    </row>
    <row r="102" spans="1:6" x14ac:dyDescent="0.25">
      <c r="A102" t="s">
        <v>190</v>
      </c>
      <c r="B102" t="s">
        <v>40</v>
      </c>
      <c r="C102">
        <v>324</v>
      </c>
      <c r="D102" s="51">
        <v>76.339996337890625</v>
      </c>
      <c r="E102">
        <v>58.97</v>
      </c>
      <c r="F102" s="51">
        <v>-5627.8788134765628</v>
      </c>
    </row>
    <row r="103" spans="1:6" x14ac:dyDescent="0.25">
      <c r="A103" t="s">
        <v>191</v>
      </c>
      <c r="B103" t="s">
        <v>40</v>
      </c>
      <c r="C103">
        <v>799</v>
      </c>
      <c r="D103" s="51">
        <v>94.739997863769531</v>
      </c>
      <c r="E103">
        <v>122.27</v>
      </c>
      <c r="F103" s="51">
        <v>21996.47170684814</v>
      </c>
    </row>
    <row r="104" spans="1:6" x14ac:dyDescent="0.25">
      <c r="A104" t="s">
        <v>192</v>
      </c>
      <c r="B104" t="s">
        <v>96</v>
      </c>
      <c r="C104">
        <v>797</v>
      </c>
      <c r="D104" s="51">
        <v>49.299999237060547</v>
      </c>
      <c r="E104">
        <v>63.66</v>
      </c>
      <c r="F104" s="51">
        <v>11444.920608062741</v>
      </c>
    </row>
    <row r="105" spans="1:6" x14ac:dyDescent="0.25">
      <c r="A105" t="s">
        <v>193</v>
      </c>
      <c r="B105" t="s">
        <v>48</v>
      </c>
      <c r="C105">
        <v>1039</v>
      </c>
      <c r="D105" s="51">
        <v>29.180000305175781</v>
      </c>
      <c r="E105">
        <v>25.02</v>
      </c>
      <c r="F105" s="51">
        <v>-4322.240317077637</v>
      </c>
    </row>
    <row r="106" spans="1:6" x14ac:dyDescent="0.25">
      <c r="A106" t="s">
        <v>194</v>
      </c>
      <c r="B106" t="s">
        <v>105</v>
      </c>
      <c r="C106">
        <v>395</v>
      </c>
      <c r="D106" s="51">
        <v>79.860000610351563</v>
      </c>
      <c r="E106">
        <v>68.48</v>
      </c>
      <c r="F106" s="51">
        <v>-4495.1002410888659</v>
      </c>
    </row>
    <row r="107" spans="1:6" x14ac:dyDescent="0.25">
      <c r="A107" t="s">
        <v>195</v>
      </c>
      <c r="B107" t="s">
        <v>48</v>
      </c>
      <c r="C107">
        <v>522</v>
      </c>
      <c r="D107" s="51">
        <v>10.989999771118164</v>
      </c>
      <c r="E107">
        <v>11.05</v>
      </c>
      <c r="F107" s="51">
        <v>31.32011947631873</v>
      </c>
    </row>
    <row r="108" spans="1:6" x14ac:dyDescent="0.25">
      <c r="A108" t="s">
        <v>196</v>
      </c>
      <c r="B108" t="s">
        <v>48</v>
      </c>
      <c r="C108">
        <v>749</v>
      </c>
      <c r="D108" s="51">
        <v>29.209999084472656</v>
      </c>
      <c r="E108">
        <v>31.25</v>
      </c>
      <c r="F108" s="51">
        <v>1527.9606857299805</v>
      </c>
    </row>
    <row r="109" spans="1:6" x14ac:dyDescent="0.25">
      <c r="A109" t="s">
        <v>197</v>
      </c>
      <c r="B109" t="s">
        <v>48</v>
      </c>
      <c r="C109">
        <v>228</v>
      </c>
      <c r="D109" s="51">
        <v>95.900001525878906</v>
      </c>
      <c r="E109">
        <v>99.02</v>
      </c>
      <c r="F109" s="51">
        <v>711.35965209960841</v>
      </c>
    </row>
    <row r="110" spans="1:6" x14ac:dyDescent="0.25">
      <c r="A110" t="s">
        <v>198</v>
      </c>
      <c r="B110" t="s">
        <v>96</v>
      </c>
      <c r="C110">
        <v>316</v>
      </c>
      <c r="D110" s="51">
        <v>10.090000152587891</v>
      </c>
      <c r="E110">
        <v>8.06</v>
      </c>
      <c r="F110" s="51">
        <v>-641.48004821777329</v>
      </c>
    </row>
    <row r="111" spans="1:6" x14ac:dyDescent="0.25">
      <c r="A111" t="s">
        <v>199</v>
      </c>
      <c r="B111" t="s">
        <v>46</v>
      </c>
      <c r="C111">
        <v>218</v>
      </c>
      <c r="D111" s="51">
        <v>16.180000305175781</v>
      </c>
      <c r="E111">
        <v>20.34</v>
      </c>
      <c r="F111" s="51">
        <v>906.87993347167969</v>
      </c>
    </row>
    <row r="112" spans="1:6" x14ac:dyDescent="0.25">
      <c r="A112" t="s">
        <v>200</v>
      </c>
      <c r="B112" t="s">
        <v>48</v>
      </c>
      <c r="C112">
        <v>881</v>
      </c>
      <c r="D112" s="51">
        <v>36.810001373291016</v>
      </c>
      <c r="E112">
        <v>47.4</v>
      </c>
      <c r="F112" s="51">
        <v>9329.7887901306149</v>
      </c>
    </row>
    <row r="113" spans="1:6" x14ac:dyDescent="0.25">
      <c r="A113" t="s">
        <v>201</v>
      </c>
      <c r="B113" t="s">
        <v>52</v>
      </c>
      <c r="C113">
        <v>128</v>
      </c>
      <c r="D113" s="51">
        <v>30.649999618530273</v>
      </c>
      <c r="E113">
        <v>28.23</v>
      </c>
      <c r="F113" s="51">
        <v>-309.75995117187495</v>
      </c>
    </row>
    <row r="114" spans="1:6" x14ac:dyDescent="0.25">
      <c r="A114" t="s">
        <v>202</v>
      </c>
      <c r="B114" t="s">
        <v>96</v>
      </c>
      <c r="C114">
        <v>57</v>
      </c>
      <c r="D114" s="51">
        <v>75.230003356933594</v>
      </c>
      <c r="E114">
        <v>78.97</v>
      </c>
      <c r="F114" s="51">
        <v>213.17980865478509</v>
      </c>
    </row>
    <row r="115" spans="1:6" x14ac:dyDescent="0.25">
      <c r="A115" t="s">
        <v>203</v>
      </c>
      <c r="B115" t="s">
        <v>90</v>
      </c>
      <c r="C115">
        <v>674</v>
      </c>
      <c r="D115" s="51">
        <v>74.730003356933594</v>
      </c>
      <c r="E115">
        <v>66.209999999999994</v>
      </c>
      <c r="F115" s="51">
        <v>-5742.4822625732468</v>
      </c>
    </row>
    <row r="116" spans="1:6" x14ac:dyDescent="0.25">
      <c r="A116" t="s">
        <v>204</v>
      </c>
      <c r="B116" t="s">
        <v>90</v>
      </c>
      <c r="C116">
        <v>788</v>
      </c>
      <c r="D116" s="51">
        <v>92.800003051757813</v>
      </c>
      <c r="E116">
        <v>90.17</v>
      </c>
      <c r="F116" s="51">
        <v>-2072.4424047851548</v>
      </c>
    </row>
    <row r="117" spans="1:6" x14ac:dyDescent="0.25">
      <c r="A117" t="s">
        <v>205</v>
      </c>
      <c r="B117" t="s">
        <v>40</v>
      </c>
      <c r="C117">
        <v>149</v>
      </c>
      <c r="D117" s="51">
        <v>10.380000114440918</v>
      </c>
      <c r="E117">
        <v>9.73</v>
      </c>
      <c r="F117" s="51">
        <v>-96.85001705169671</v>
      </c>
    </row>
    <row r="118" spans="1:6" x14ac:dyDescent="0.25">
      <c r="A118" t="s">
        <v>206</v>
      </c>
      <c r="B118" t="s">
        <v>40</v>
      </c>
      <c r="C118">
        <v>843</v>
      </c>
      <c r="D118" s="51">
        <v>108.5</v>
      </c>
      <c r="E118">
        <v>109.76</v>
      </c>
      <c r="F118" s="51">
        <v>1062.1800000000044</v>
      </c>
    </row>
    <row r="119" spans="1:6" x14ac:dyDescent="0.25">
      <c r="A119" t="s">
        <v>207</v>
      </c>
      <c r="B119" t="s">
        <v>46</v>
      </c>
      <c r="C119">
        <v>925</v>
      </c>
      <c r="D119" s="51">
        <v>76.120002746582031</v>
      </c>
      <c r="E119">
        <v>97.52</v>
      </c>
      <c r="F119" s="51">
        <v>19794.997459411617</v>
      </c>
    </row>
    <row r="120" spans="1:6" x14ac:dyDescent="0.25">
      <c r="A120" t="s">
        <v>208</v>
      </c>
      <c r="B120" t="s">
        <v>105</v>
      </c>
      <c r="C120">
        <v>319</v>
      </c>
      <c r="D120" s="51">
        <v>42.889999389648438</v>
      </c>
      <c r="E120">
        <v>47.16</v>
      </c>
      <c r="F120" s="51">
        <v>1362.1301947021473</v>
      </c>
    </row>
    <row r="121" spans="1:6" x14ac:dyDescent="0.25">
      <c r="A121" t="s">
        <v>209</v>
      </c>
      <c r="B121" t="s">
        <v>105</v>
      </c>
      <c r="C121">
        <v>952</v>
      </c>
      <c r="D121" s="51">
        <v>37.040000915527344</v>
      </c>
      <c r="E121">
        <v>38.75</v>
      </c>
      <c r="F121" s="51">
        <v>1627.9191284179688</v>
      </c>
    </row>
    <row r="122" spans="1:6" x14ac:dyDescent="0.25">
      <c r="A122" t="s">
        <v>210</v>
      </c>
      <c r="B122" t="s">
        <v>43</v>
      </c>
      <c r="C122">
        <v>144</v>
      </c>
      <c r="D122" s="51">
        <v>68.099998474121094</v>
      </c>
      <c r="E122">
        <v>57.01</v>
      </c>
      <c r="F122" s="51">
        <v>-1596.9597802734379</v>
      </c>
    </row>
    <row r="123" spans="1:6" x14ac:dyDescent="0.25">
      <c r="A123" t="s">
        <v>211</v>
      </c>
      <c r="B123" t="s">
        <v>55</v>
      </c>
      <c r="C123">
        <v>256</v>
      </c>
      <c r="D123" s="51">
        <v>34.779998779296875</v>
      </c>
      <c r="E123">
        <v>34.18</v>
      </c>
      <c r="F123" s="51">
        <v>-153.59968750000007</v>
      </c>
    </row>
    <row r="124" spans="1:6" x14ac:dyDescent="0.25">
      <c r="A124" t="s">
        <v>212</v>
      </c>
      <c r="B124" t="s">
        <v>52</v>
      </c>
      <c r="C124">
        <v>572</v>
      </c>
      <c r="D124" s="51">
        <v>57.790000915527344</v>
      </c>
      <c r="E124">
        <v>57.7</v>
      </c>
      <c r="F124" s="51">
        <v>-51.480523681638999</v>
      </c>
    </row>
    <row r="125" spans="1:6" x14ac:dyDescent="0.25">
      <c r="A125" t="s">
        <v>213</v>
      </c>
      <c r="B125" t="s">
        <v>52</v>
      </c>
      <c r="C125">
        <v>445</v>
      </c>
      <c r="D125" s="51">
        <v>37.580001831054688</v>
      </c>
      <c r="E125">
        <v>28.67</v>
      </c>
      <c r="F125" s="51">
        <v>-3964.9508148193354</v>
      </c>
    </row>
    <row r="126" spans="1:6" x14ac:dyDescent="0.25">
      <c r="A126" t="s">
        <v>214</v>
      </c>
      <c r="B126" t="s">
        <v>90</v>
      </c>
      <c r="C126">
        <v>685</v>
      </c>
      <c r="D126" s="51">
        <v>37.220001220703125</v>
      </c>
      <c r="E126">
        <v>30.85</v>
      </c>
      <c r="F126" s="51">
        <v>-4363.4508361816397</v>
      </c>
    </row>
    <row r="127" spans="1:6" x14ac:dyDescent="0.25">
      <c r="A127" t="s">
        <v>215</v>
      </c>
      <c r="B127" t="s">
        <v>40</v>
      </c>
      <c r="C127">
        <v>202</v>
      </c>
      <c r="D127" s="51">
        <v>90.19000244140625</v>
      </c>
      <c r="E127">
        <v>97.47</v>
      </c>
      <c r="F127" s="51">
        <v>1470.5595068359373</v>
      </c>
    </row>
    <row r="128" spans="1:6" x14ac:dyDescent="0.25">
      <c r="A128" t="s">
        <v>216</v>
      </c>
      <c r="B128" t="s">
        <v>52</v>
      </c>
      <c r="C128">
        <v>894</v>
      </c>
      <c r="D128" s="51">
        <v>33.189998626708984</v>
      </c>
      <c r="E128">
        <v>24.75</v>
      </c>
      <c r="F128" s="51">
        <v>-7545.358772277832</v>
      </c>
    </row>
    <row r="129" spans="1:6" x14ac:dyDescent="0.25">
      <c r="A129" t="s">
        <v>217</v>
      </c>
      <c r="B129" t="s">
        <v>46</v>
      </c>
      <c r="C129">
        <v>790</v>
      </c>
      <c r="D129" s="51">
        <v>63.950000762939453</v>
      </c>
      <c r="E129">
        <v>60.88</v>
      </c>
      <c r="F129" s="51">
        <v>-2425.3006027221659</v>
      </c>
    </row>
    <row r="130" spans="1:6" x14ac:dyDescent="0.25">
      <c r="A130" t="s">
        <v>218</v>
      </c>
      <c r="B130" t="s">
        <v>55</v>
      </c>
      <c r="C130">
        <v>438</v>
      </c>
      <c r="D130" s="51">
        <v>24.069999694824219</v>
      </c>
      <c r="E130">
        <v>20.190000000000001</v>
      </c>
      <c r="F130" s="51">
        <v>-1699.4398663330073</v>
      </c>
    </row>
    <row r="131" spans="1:6" x14ac:dyDescent="0.25">
      <c r="A131" t="s">
        <v>219</v>
      </c>
      <c r="B131" t="s">
        <v>55</v>
      </c>
      <c r="C131">
        <v>548</v>
      </c>
      <c r="D131" s="51">
        <v>106.77999877929688</v>
      </c>
      <c r="E131">
        <v>108.35</v>
      </c>
      <c r="F131" s="51">
        <v>860.36066894530938</v>
      </c>
    </row>
    <row r="132" spans="1:6" x14ac:dyDescent="0.25">
      <c r="A132" t="s">
        <v>220</v>
      </c>
      <c r="B132" t="s">
        <v>55</v>
      </c>
      <c r="C132">
        <v>883</v>
      </c>
      <c r="D132" s="51">
        <v>89.790000915527344</v>
      </c>
      <c r="E132">
        <v>104.95</v>
      </c>
      <c r="F132" s="51">
        <v>13386.279191589358</v>
      </c>
    </row>
    <row r="133" spans="1:6" x14ac:dyDescent="0.25">
      <c r="A133" t="s">
        <v>221</v>
      </c>
      <c r="B133" t="s">
        <v>90</v>
      </c>
      <c r="C133">
        <v>396</v>
      </c>
      <c r="D133" s="51">
        <v>93.120002746582031</v>
      </c>
      <c r="E133">
        <v>77.14</v>
      </c>
      <c r="F133" s="51">
        <v>-6328.0810876464839</v>
      </c>
    </row>
    <row r="134" spans="1:6" x14ac:dyDescent="0.25">
      <c r="A134" t="s">
        <v>222</v>
      </c>
      <c r="B134" t="s">
        <v>46</v>
      </c>
      <c r="C134">
        <v>624</v>
      </c>
      <c r="D134" s="51">
        <v>61.849998474121094</v>
      </c>
      <c r="E134">
        <v>53.76</v>
      </c>
      <c r="F134" s="51">
        <v>-5048.1590478515636</v>
      </c>
    </row>
    <row r="135" spans="1:6" x14ac:dyDescent="0.25">
      <c r="A135" t="s">
        <v>223</v>
      </c>
      <c r="B135" t="s">
        <v>90</v>
      </c>
      <c r="C135">
        <v>329</v>
      </c>
      <c r="D135" s="51">
        <v>74.010002136230469</v>
      </c>
      <c r="E135">
        <v>72.14</v>
      </c>
      <c r="F135" s="51">
        <v>-615.23070281982405</v>
      </c>
    </row>
    <row r="136" spans="1:6" x14ac:dyDescent="0.25">
      <c r="A136" t="s">
        <v>224</v>
      </c>
      <c r="B136" t="s">
        <v>96</v>
      </c>
      <c r="C136">
        <v>386</v>
      </c>
      <c r="D136" s="51">
        <v>73.30999755859375</v>
      </c>
      <c r="E136">
        <v>61.95</v>
      </c>
      <c r="F136" s="51">
        <v>-4384.9590576171868</v>
      </c>
    </row>
    <row r="137" spans="1:6" x14ac:dyDescent="0.25">
      <c r="A137" t="s">
        <v>225</v>
      </c>
      <c r="B137" t="s">
        <v>55</v>
      </c>
      <c r="C137">
        <v>924</v>
      </c>
      <c r="D137" s="51">
        <v>27.030000686645508</v>
      </c>
      <c r="E137">
        <v>25.87</v>
      </c>
      <c r="F137" s="51">
        <v>-1071.8406344604482</v>
      </c>
    </row>
    <row r="138" spans="1:6" x14ac:dyDescent="0.25">
      <c r="A138" t="s">
        <v>226</v>
      </c>
      <c r="B138" t="s">
        <v>96</v>
      </c>
      <c r="C138">
        <v>718</v>
      </c>
      <c r="D138" s="51">
        <v>108.76999664306641</v>
      </c>
      <c r="E138">
        <v>116.7</v>
      </c>
      <c r="F138" s="51">
        <v>5693.7424102783225</v>
      </c>
    </row>
    <row r="139" spans="1:6" x14ac:dyDescent="0.25">
      <c r="A139" t="s">
        <v>227</v>
      </c>
      <c r="B139" t="s">
        <v>55</v>
      </c>
      <c r="C139">
        <v>831</v>
      </c>
      <c r="D139" s="51">
        <v>106.33000183105469</v>
      </c>
      <c r="E139">
        <v>74.48</v>
      </c>
      <c r="F139" s="51">
        <v>-26467.351521606441</v>
      </c>
    </row>
    <row r="140" spans="1:6" x14ac:dyDescent="0.25">
      <c r="A140" t="s">
        <v>228</v>
      </c>
      <c r="B140" t="s">
        <v>90</v>
      </c>
      <c r="C140">
        <v>501</v>
      </c>
      <c r="D140" s="51">
        <v>54.439998626708984</v>
      </c>
      <c r="E140">
        <v>49.09</v>
      </c>
      <c r="F140" s="51">
        <v>-2680.3493119811997</v>
      </c>
    </row>
    <row r="141" spans="1:6" x14ac:dyDescent="0.25">
      <c r="A141" t="s">
        <v>229</v>
      </c>
      <c r="B141" t="s">
        <v>105</v>
      </c>
      <c r="C141">
        <v>283</v>
      </c>
      <c r="D141" s="51">
        <v>92.629997253417969</v>
      </c>
      <c r="E141">
        <v>78.959999999999994</v>
      </c>
      <c r="F141" s="51">
        <v>-3868.6092227172871</v>
      </c>
    </row>
    <row r="142" spans="1:6" x14ac:dyDescent="0.25">
      <c r="A142" t="s">
        <v>230</v>
      </c>
      <c r="B142" t="s">
        <v>37</v>
      </c>
      <c r="C142">
        <v>442</v>
      </c>
      <c r="D142" s="51">
        <v>48.040000915527344</v>
      </c>
      <c r="E142">
        <v>55.34</v>
      </c>
      <c r="F142" s="51">
        <v>3226.5995953369156</v>
      </c>
    </row>
    <row r="143" spans="1:6" x14ac:dyDescent="0.25">
      <c r="A143" t="s">
        <v>231</v>
      </c>
      <c r="B143" t="s">
        <v>48</v>
      </c>
      <c r="C143">
        <v>589</v>
      </c>
      <c r="D143" s="51">
        <v>43.200000762939453</v>
      </c>
      <c r="E143">
        <v>55.38</v>
      </c>
      <c r="F143" s="51">
        <v>7174.0195506286636</v>
      </c>
    </row>
    <row r="144" spans="1:6" x14ac:dyDescent="0.25">
      <c r="A144" t="s">
        <v>232</v>
      </c>
      <c r="B144" t="s">
        <v>55</v>
      </c>
      <c r="C144">
        <v>576</v>
      </c>
      <c r="D144" s="51">
        <v>28.879999160766602</v>
      </c>
      <c r="E144">
        <v>23.57</v>
      </c>
      <c r="F144" s="51">
        <v>-3058.5595166015623</v>
      </c>
    </row>
    <row r="145" spans="1:6" x14ac:dyDescent="0.25">
      <c r="A145" t="s">
        <v>233</v>
      </c>
      <c r="B145" t="s">
        <v>90</v>
      </c>
      <c r="C145">
        <v>635</v>
      </c>
      <c r="D145" s="51">
        <v>41.880001068115234</v>
      </c>
      <c r="E145">
        <v>32.659999999999997</v>
      </c>
      <c r="F145" s="51">
        <v>-5854.7006782531762</v>
      </c>
    </row>
    <row r="146" spans="1:6" x14ac:dyDescent="0.25">
      <c r="A146" t="s">
        <v>234</v>
      </c>
      <c r="B146" t="s">
        <v>48</v>
      </c>
      <c r="C146">
        <v>768</v>
      </c>
      <c r="D146" s="51">
        <v>87.839996337890625</v>
      </c>
      <c r="E146">
        <v>84.21</v>
      </c>
      <c r="F146" s="51">
        <v>-2787.8371875000048</v>
      </c>
    </row>
    <row r="147" spans="1:6" x14ac:dyDescent="0.25">
      <c r="A147" t="s">
        <v>235</v>
      </c>
      <c r="B147" t="s">
        <v>55</v>
      </c>
      <c r="C147">
        <v>387</v>
      </c>
      <c r="D147" s="51">
        <v>49.069999694824219</v>
      </c>
      <c r="E147">
        <v>47.05</v>
      </c>
      <c r="F147" s="51">
        <v>-781.73988189697377</v>
      </c>
    </row>
    <row r="148" spans="1:6" x14ac:dyDescent="0.25">
      <c r="A148" t="s">
        <v>236</v>
      </c>
      <c r="B148" t="s">
        <v>52</v>
      </c>
      <c r="C148">
        <v>209</v>
      </c>
      <c r="D148" s="51">
        <v>17.350000381469727</v>
      </c>
      <c r="E148">
        <v>14.15</v>
      </c>
      <c r="F148" s="51">
        <v>-668.80007972717283</v>
      </c>
    </row>
    <row r="149" spans="1:6" x14ac:dyDescent="0.25">
      <c r="A149" t="s">
        <v>237</v>
      </c>
      <c r="B149" t="s">
        <v>96</v>
      </c>
      <c r="C149">
        <v>389</v>
      </c>
      <c r="D149" s="51">
        <v>51.729999542236328</v>
      </c>
      <c r="E149">
        <v>59.69</v>
      </c>
      <c r="F149" s="51">
        <v>3096.4401780700673</v>
      </c>
    </row>
    <row r="150" spans="1:6" x14ac:dyDescent="0.25">
      <c r="A150" t="s">
        <v>238</v>
      </c>
      <c r="B150" t="s">
        <v>105</v>
      </c>
      <c r="C150">
        <v>919</v>
      </c>
      <c r="D150" s="51">
        <v>61.389999389648438</v>
      </c>
      <c r="E150">
        <v>67.25</v>
      </c>
      <c r="F150" s="51">
        <v>5385.3405609130859</v>
      </c>
    </row>
    <row r="151" spans="1:6" x14ac:dyDescent="0.25">
      <c r="A151" t="s">
        <v>239</v>
      </c>
      <c r="B151" t="s">
        <v>55</v>
      </c>
      <c r="C151">
        <v>262</v>
      </c>
      <c r="D151" s="51">
        <v>13.399999618530273</v>
      </c>
      <c r="E151">
        <v>15.02</v>
      </c>
      <c r="F151" s="51">
        <v>424.44009994506825</v>
      </c>
    </row>
    <row r="152" spans="1:6" x14ac:dyDescent="0.25">
      <c r="A152" t="s">
        <v>240</v>
      </c>
      <c r="B152" t="s">
        <v>96</v>
      </c>
      <c r="C152">
        <v>246</v>
      </c>
      <c r="D152" s="51">
        <v>65.540000915527344</v>
      </c>
      <c r="E152">
        <v>83.75</v>
      </c>
      <c r="F152" s="51">
        <v>4479.6597747802734</v>
      </c>
    </row>
    <row r="153" spans="1:6" x14ac:dyDescent="0.25">
      <c r="A153" t="s">
        <v>241</v>
      </c>
      <c r="B153" t="s">
        <v>96</v>
      </c>
      <c r="C153">
        <v>205</v>
      </c>
      <c r="D153" s="51">
        <v>24.139999389648438</v>
      </c>
      <c r="E153">
        <v>17.850000000000001</v>
      </c>
      <c r="F153" s="51">
        <v>-1289.4498748779295</v>
      </c>
    </row>
    <row r="154" spans="1:6" x14ac:dyDescent="0.25">
      <c r="A154" t="s">
        <v>242</v>
      </c>
      <c r="B154" t="s">
        <v>48</v>
      </c>
      <c r="C154">
        <v>368</v>
      </c>
      <c r="D154" s="51">
        <v>26.889999389648438</v>
      </c>
      <c r="E154">
        <v>29.97</v>
      </c>
      <c r="F154" s="51">
        <v>1133.4402246093746</v>
      </c>
    </row>
    <row r="155" spans="1:6" x14ac:dyDescent="0.25">
      <c r="A155" t="s">
        <v>243</v>
      </c>
      <c r="B155" t="s">
        <v>40</v>
      </c>
      <c r="C155">
        <v>498</v>
      </c>
      <c r="D155" s="51">
        <v>50.630001068115234</v>
      </c>
      <c r="E155">
        <v>46</v>
      </c>
      <c r="F155" s="51">
        <v>-2305.7405319213867</v>
      </c>
    </row>
    <row r="156" spans="1:6" x14ac:dyDescent="0.25">
      <c r="A156" t="s">
        <v>244</v>
      </c>
      <c r="B156" t="s">
        <v>105</v>
      </c>
      <c r="C156">
        <v>787</v>
      </c>
      <c r="D156" s="51">
        <v>44.150001525878906</v>
      </c>
      <c r="E156">
        <v>41.05</v>
      </c>
      <c r="F156" s="51">
        <v>-2439.7012008667016</v>
      </c>
    </row>
    <row r="157" spans="1:6" x14ac:dyDescent="0.25">
      <c r="A157" t="s">
        <v>245</v>
      </c>
      <c r="B157" t="s">
        <v>48</v>
      </c>
      <c r="C157">
        <v>994</v>
      </c>
      <c r="D157" s="51">
        <v>86.05999755859375</v>
      </c>
      <c r="E157">
        <v>73.25</v>
      </c>
      <c r="F157" s="51">
        <v>-12733.137573242188</v>
      </c>
    </row>
    <row r="158" spans="1:6" x14ac:dyDescent="0.25">
      <c r="A158" t="s">
        <v>246</v>
      </c>
      <c r="B158" t="s">
        <v>55</v>
      </c>
      <c r="C158">
        <v>837</v>
      </c>
      <c r="D158" s="51">
        <v>67.550003051757813</v>
      </c>
      <c r="E158">
        <v>48.55</v>
      </c>
      <c r="F158" s="51">
        <v>-15903.002554321292</v>
      </c>
    </row>
    <row r="159" spans="1:6" x14ac:dyDescent="0.25">
      <c r="A159" t="s">
        <v>247</v>
      </c>
      <c r="B159" t="s">
        <v>90</v>
      </c>
      <c r="C159">
        <v>629</v>
      </c>
      <c r="D159" s="51">
        <v>100.22000122070313</v>
      </c>
      <c r="E159">
        <v>81.28</v>
      </c>
      <c r="F159" s="51">
        <v>-11913.260767822265</v>
      </c>
    </row>
    <row r="160" spans="1:6" x14ac:dyDescent="0.25">
      <c r="A160" t="s">
        <v>248</v>
      </c>
      <c r="B160" t="s">
        <v>46</v>
      </c>
      <c r="C160">
        <v>178</v>
      </c>
      <c r="D160" s="51">
        <v>48.889999389648438</v>
      </c>
      <c r="E160">
        <v>51.28</v>
      </c>
      <c r="F160" s="51">
        <v>425.42010864257833</v>
      </c>
    </row>
    <row r="161" spans="1:6" x14ac:dyDescent="0.25">
      <c r="A161" t="s">
        <v>249</v>
      </c>
      <c r="B161" t="s">
        <v>105</v>
      </c>
      <c r="C161">
        <v>916</v>
      </c>
      <c r="D161" s="51">
        <v>89.44000244140625</v>
      </c>
      <c r="E161">
        <v>103.23</v>
      </c>
      <c r="F161" s="51">
        <v>12631.637763671879</v>
      </c>
    </row>
    <row r="162" spans="1:6" x14ac:dyDescent="0.25">
      <c r="A162" t="s">
        <v>250</v>
      </c>
      <c r="B162" t="s">
        <v>48</v>
      </c>
      <c r="C162">
        <v>299</v>
      </c>
      <c r="D162" s="51">
        <v>91.55999755859375</v>
      </c>
      <c r="E162">
        <v>87.88</v>
      </c>
      <c r="F162" s="51">
        <v>-1100.3192700195327</v>
      </c>
    </row>
    <row r="163" spans="1:6" x14ac:dyDescent="0.25">
      <c r="A163" t="s">
        <v>251</v>
      </c>
      <c r="B163" t="s">
        <v>48</v>
      </c>
      <c r="C163">
        <v>443</v>
      </c>
      <c r="D163" s="51">
        <v>26.620000839233398</v>
      </c>
      <c r="E163">
        <v>23.12</v>
      </c>
      <c r="F163" s="51">
        <v>-1550.500371780395</v>
      </c>
    </row>
    <row r="164" spans="1:6" x14ac:dyDescent="0.25">
      <c r="A164" t="s">
        <v>252</v>
      </c>
      <c r="B164" t="s">
        <v>48</v>
      </c>
      <c r="C164">
        <v>1016</v>
      </c>
      <c r="D164" s="51">
        <v>100.47000122070313</v>
      </c>
      <c r="E164">
        <v>126.85</v>
      </c>
      <c r="F164" s="51">
        <v>26802.07875976562</v>
      </c>
    </row>
    <row r="165" spans="1:6" x14ac:dyDescent="0.25">
      <c r="A165" t="s">
        <v>253</v>
      </c>
      <c r="B165" t="s">
        <v>96</v>
      </c>
      <c r="C165">
        <v>380</v>
      </c>
      <c r="D165" s="51">
        <v>11.229999542236328</v>
      </c>
      <c r="E165">
        <v>9.6999999999999993</v>
      </c>
      <c r="F165" s="51">
        <v>-581.39982604980491</v>
      </c>
    </row>
    <row r="166" spans="1:6" x14ac:dyDescent="0.25">
      <c r="A166" t="s">
        <v>254</v>
      </c>
      <c r="B166" t="s">
        <v>46</v>
      </c>
      <c r="C166">
        <v>976</v>
      </c>
      <c r="D166" s="51">
        <v>32.130001068115234</v>
      </c>
      <c r="E166">
        <v>39.85</v>
      </c>
      <c r="F166" s="51">
        <v>7534.7189575195325</v>
      </c>
    </row>
    <row r="167" spans="1:6" x14ac:dyDescent="0.25">
      <c r="A167" t="s">
        <v>255</v>
      </c>
      <c r="B167" t="s">
        <v>90</v>
      </c>
      <c r="C167">
        <v>973</v>
      </c>
      <c r="D167" s="51">
        <v>19.290000915527344</v>
      </c>
      <c r="E167">
        <v>24.51</v>
      </c>
      <c r="F167" s="51">
        <v>5079.0591091918959</v>
      </c>
    </row>
    <row r="168" spans="1:6" x14ac:dyDescent="0.25">
      <c r="A168" t="s">
        <v>256</v>
      </c>
      <c r="B168" t="s">
        <v>96</v>
      </c>
      <c r="C168">
        <v>151</v>
      </c>
      <c r="D168" s="51">
        <v>44.580001831054688</v>
      </c>
      <c r="E168">
        <v>33.35</v>
      </c>
      <c r="F168" s="51">
        <v>-1695.7302764892577</v>
      </c>
    </row>
    <row r="169" spans="1:6" x14ac:dyDescent="0.25">
      <c r="A169" t="s">
        <v>257</v>
      </c>
      <c r="B169" t="s">
        <v>43</v>
      </c>
      <c r="C169">
        <v>1047</v>
      </c>
      <c r="D169" s="51">
        <v>53.389999389648438</v>
      </c>
      <c r="E169">
        <v>61.04</v>
      </c>
      <c r="F169" s="51">
        <v>8009.5506390380851</v>
      </c>
    </row>
    <row r="170" spans="1:6" x14ac:dyDescent="0.25">
      <c r="A170" t="s">
        <v>258</v>
      </c>
      <c r="B170" t="s">
        <v>55</v>
      </c>
      <c r="C170">
        <v>342</v>
      </c>
      <c r="D170" s="51">
        <v>47.459999084472656</v>
      </c>
      <c r="E170">
        <v>52.8</v>
      </c>
      <c r="F170" s="51">
        <v>1826.2803131103506</v>
      </c>
    </row>
    <row r="171" spans="1:6" x14ac:dyDescent="0.25">
      <c r="A171" t="s">
        <v>259</v>
      </c>
      <c r="B171" t="s">
        <v>105</v>
      </c>
      <c r="C171">
        <v>504</v>
      </c>
      <c r="D171" s="51">
        <v>92.680000305175781</v>
      </c>
      <c r="E171">
        <v>107.24</v>
      </c>
      <c r="F171" s="51">
        <v>7338.2398461914036</v>
      </c>
    </row>
    <row r="172" spans="1:6" x14ac:dyDescent="0.25">
      <c r="A172" t="s">
        <v>260</v>
      </c>
      <c r="B172" t="s">
        <v>52</v>
      </c>
      <c r="C172">
        <v>679</v>
      </c>
      <c r="D172" s="51">
        <v>51.930000305175781</v>
      </c>
      <c r="E172">
        <v>64.010000000000005</v>
      </c>
      <c r="F172" s="51">
        <v>8202.3197927856472</v>
      </c>
    </row>
    <row r="173" spans="1:6" x14ac:dyDescent="0.25">
      <c r="A173" t="s">
        <v>261</v>
      </c>
      <c r="B173" t="s">
        <v>55</v>
      </c>
      <c r="C173">
        <v>827</v>
      </c>
      <c r="D173" s="51">
        <v>42.869998931884766</v>
      </c>
      <c r="E173">
        <v>38.97</v>
      </c>
      <c r="F173" s="51">
        <v>-3225.299116668702</v>
      </c>
    </row>
    <row r="174" spans="1:6" x14ac:dyDescent="0.25">
      <c r="A174" t="s">
        <v>262</v>
      </c>
      <c r="B174" t="s">
        <v>96</v>
      </c>
      <c r="C174">
        <v>119</v>
      </c>
      <c r="D174" s="51">
        <v>20.75</v>
      </c>
      <c r="E174">
        <v>18.239999999999998</v>
      </c>
      <c r="F174" s="51">
        <v>-298.69000000000017</v>
      </c>
    </row>
    <row r="175" spans="1:6" x14ac:dyDescent="0.25">
      <c r="A175" t="s">
        <v>263</v>
      </c>
      <c r="B175" t="s">
        <v>52</v>
      </c>
      <c r="C175">
        <v>573</v>
      </c>
      <c r="D175" s="51">
        <v>86.239997863769531</v>
      </c>
      <c r="E175">
        <v>87.8</v>
      </c>
      <c r="F175" s="51">
        <v>893.88122406005698</v>
      </c>
    </row>
    <row r="176" spans="1:6" x14ac:dyDescent="0.25">
      <c r="A176" t="s">
        <v>264</v>
      </c>
      <c r="B176" t="s">
        <v>52</v>
      </c>
      <c r="C176">
        <v>948</v>
      </c>
      <c r="D176" s="51">
        <v>18.219999313354492</v>
      </c>
      <c r="E176">
        <v>18.11</v>
      </c>
      <c r="F176" s="51">
        <v>-104.27934906005913</v>
      </c>
    </row>
    <row r="177" spans="1:6" x14ac:dyDescent="0.25">
      <c r="A177" t="s">
        <v>265</v>
      </c>
      <c r="B177" t="s">
        <v>37</v>
      </c>
      <c r="C177">
        <v>880</v>
      </c>
      <c r="D177" s="51">
        <v>31.620000839233398</v>
      </c>
      <c r="E177">
        <v>32.42</v>
      </c>
      <c r="F177" s="51">
        <v>703.99926147461088</v>
      </c>
    </row>
    <row r="178" spans="1:6" x14ac:dyDescent="0.25">
      <c r="A178" t="s">
        <v>266</v>
      </c>
      <c r="B178" t="s">
        <v>90</v>
      </c>
      <c r="C178">
        <v>279</v>
      </c>
      <c r="D178" s="51">
        <v>60.220001220703125</v>
      </c>
      <c r="E178">
        <v>59.73</v>
      </c>
      <c r="F178" s="51">
        <v>-136.71034057617274</v>
      </c>
    </row>
    <row r="179" spans="1:6" x14ac:dyDescent="0.25">
      <c r="A179" t="s">
        <v>267</v>
      </c>
      <c r="B179" t="s">
        <v>90</v>
      </c>
      <c r="C179">
        <v>964</v>
      </c>
      <c r="D179" s="51">
        <v>64.430000305175781</v>
      </c>
      <c r="E179">
        <v>57.56</v>
      </c>
      <c r="F179" s="51">
        <v>-6622.6802941894512</v>
      </c>
    </row>
    <row r="180" spans="1:6" x14ac:dyDescent="0.25">
      <c r="A180" t="s">
        <v>268</v>
      </c>
      <c r="B180" t="s">
        <v>55</v>
      </c>
      <c r="C180">
        <v>555</v>
      </c>
      <c r="D180" s="51">
        <v>64.160003662109375</v>
      </c>
      <c r="E180">
        <v>55.12</v>
      </c>
      <c r="F180" s="51">
        <v>-5017.2020324707046</v>
      </c>
    </row>
    <row r="181" spans="1:6" x14ac:dyDescent="0.25">
      <c r="A181" t="s">
        <v>269</v>
      </c>
      <c r="B181" t="s">
        <v>46</v>
      </c>
      <c r="C181">
        <v>617</v>
      </c>
      <c r="D181" s="51">
        <v>96.610000610351563</v>
      </c>
      <c r="E181">
        <v>68.31</v>
      </c>
      <c r="F181" s="51">
        <v>-17461.100376586914</v>
      </c>
    </row>
    <row r="182" spans="1:6" x14ac:dyDescent="0.25">
      <c r="A182" t="s">
        <v>270</v>
      </c>
      <c r="B182" t="s">
        <v>43</v>
      </c>
      <c r="C182">
        <v>1046</v>
      </c>
      <c r="D182" s="51">
        <v>99.050003051757813</v>
      </c>
      <c r="E182">
        <v>84.55</v>
      </c>
      <c r="F182" s="51">
        <v>-15167.003192138674</v>
      </c>
    </row>
    <row r="183" spans="1:6" x14ac:dyDescent="0.25">
      <c r="A183" t="s">
        <v>271</v>
      </c>
      <c r="B183" t="s">
        <v>105</v>
      </c>
      <c r="C183">
        <v>712</v>
      </c>
      <c r="D183" s="51">
        <v>16.690000534057617</v>
      </c>
      <c r="E183">
        <v>16.239999999999998</v>
      </c>
      <c r="F183" s="51">
        <v>-320.40038024902458</v>
      </c>
    </row>
    <row r="184" spans="1:6" x14ac:dyDescent="0.25">
      <c r="A184" t="s">
        <v>272</v>
      </c>
      <c r="B184" t="s">
        <v>43</v>
      </c>
      <c r="C184">
        <v>349</v>
      </c>
      <c r="D184" s="51">
        <v>35.439998626708984</v>
      </c>
      <c r="E184">
        <v>42.72</v>
      </c>
      <c r="F184" s="51">
        <v>2540.7204792785642</v>
      </c>
    </row>
    <row r="185" spans="1:6" x14ac:dyDescent="0.25">
      <c r="A185" t="s">
        <v>273</v>
      </c>
      <c r="B185" t="s">
        <v>52</v>
      </c>
      <c r="C185">
        <v>698</v>
      </c>
      <c r="D185" s="51">
        <v>39.770000457763672</v>
      </c>
      <c r="E185">
        <v>44.5</v>
      </c>
      <c r="F185" s="51">
        <v>3301.539680480957</v>
      </c>
    </row>
    <row r="186" spans="1:6" x14ac:dyDescent="0.25">
      <c r="A186" t="s">
        <v>274</v>
      </c>
      <c r="B186" t="s">
        <v>43</v>
      </c>
      <c r="C186">
        <v>892</v>
      </c>
      <c r="D186" s="51">
        <v>95.459999084472656</v>
      </c>
      <c r="E186">
        <v>116.13</v>
      </c>
      <c r="F186" s="51">
        <v>18437.640816650386</v>
      </c>
    </row>
    <row r="187" spans="1:6" x14ac:dyDescent="0.25">
      <c r="A187" t="s">
        <v>275</v>
      </c>
      <c r="B187" t="s">
        <v>48</v>
      </c>
      <c r="C187">
        <v>102</v>
      </c>
      <c r="D187" s="51">
        <v>57.490001678466797</v>
      </c>
      <c r="E187">
        <v>57.26</v>
      </c>
      <c r="F187" s="51">
        <v>-23.460171203613484</v>
      </c>
    </row>
    <row r="188" spans="1:6" x14ac:dyDescent="0.25">
      <c r="A188" t="s">
        <v>276</v>
      </c>
      <c r="B188" t="s">
        <v>46</v>
      </c>
      <c r="C188">
        <v>427</v>
      </c>
      <c r="D188" s="51">
        <v>102.77999877929688</v>
      </c>
      <c r="E188">
        <v>78.16</v>
      </c>
      <c r="F188" s="51">
        <v>-10512.739478759768</v>
      </c>
    </row>
    <row r="189" spans="1:6" x14ac:dyDescent="0.25">
      <c r="A189" t="s">
        <v>277</v>
      </c>
      <c r="B189" t="s">
        <v>90</v>
      </c>
      <c r="C189">
        <v>1032</v>
      </c>
      <c r="D189" s="51">
        <v>88.05999755859375</v>
      </c>
      <c r="E189">
        <v>103.57</v>
      </c>
      <c r="F189" s="51">
        <v>16006.322519531243</v>
      </c>
    </row>
    <row r="190" spans="1:6" x14ac:dyDescent="0.25">
      <c r="A190" t="s">
        <v>278</v>
      </c>
      <c r="B190" t="s">
        <v>46</v>
      </c>
      <c r="C190">
        <v>539</v>
      </c>
      <c r="D190" s="51">
        <v>32.650001525878906</v>
      </c>
      <c r="E190">
        <v>38.619999999999997</v>
      </c>
      <c r="F190" s="51">
        <v>3217.829177551268</v>
      </c>
    </row>
    <row r="191" spans="1:6" x14ac:dyDescent="0.25">
      <c r="A191" t="s">
        <v>279</v>
      </c>
      <c r="B191" t="s">
        <v>48</v>
      </c>
      <c r="C191">
        <v>670</v>
      </c>
      <c r="D191" s="51">
        <v>26.270000457763672</v>
      </c>
      <c r="E191">
        <v>22.41</v>
      </c>
      <c r="F191" s="51">
        <v>-2586.2003067016599</v>
      </c>
    </row>
    <row r="192" spans="1:6" x14ac:dyDescent="0.25">
      <c r="A192" t="s">
        <v>280</v>
      </c>
      <c r="B192" t="s">
        <v>40</v>
      </c>
      <c r="C192">
        <v>137</v>
      </c>
      <c r="D192" s="51">
        <v>61.869998931884766</v>
      </c>
      <c r="E192">
        <v>49.58</v>
      </c>
      <c r="F192" s="51">
        <v>-1683.7298536682131</v>
      </c>
    </row>
    <row r="193" spans="1:6" x14ac:dyDescent="0.25">
      <c r="A193" t="s">
        <v>281</v>
      </c>
      <c r="B193" t="s">
        <v>37</v>
      </c>
      <c r="C193">
        <v>780</v>
      </c>
      <c r="D193" s="51">
        <v>93.44000244140625</v>
      </c>
      <c r="E193">
        <v>106.81</v>
      </c>
      <c r="F193" s="51">
        <v>10428.598095703126</v>
      </c>
    </row>
    <row r="194" spans="1:6" x14ac:dyDescent="0.25">
      <c r="A194" t="s">
        <v>282</v>
      </c>
      <c r="B194" t="s">
        <v>37</v>
      </c>
      <c r="C194">
        <v>960</v>
      </c>
      <c r="D194" s="51">
        <v>18.809999465942383</v>
      </c>
      <c r="E194">
        <v>22.67</v>
      </c>
      <c r="F194" s="51">
        <v>3705.6005126953141</v>
      </c>
    </row>
    <row r="195" spans="1:6" x14ac:dyDescent="0.25">
      <c r="A195" t="s">
        <v>283</v>
      </c>
      <c r="B195" t="s">
        <v>52</v>
      </c>
      <c r="C195">
        <v>201</v>
      </c>
      <c r="D195" s="51">
        <v>87.480003356933594</v>
      </c>
      <c r="E195">
        <v>103.56</v>
      </c>
      <c r="F195" s="51">
        <v>3232.0793252563481</v>
      </c>
    </row>
    <row r="196" spans="1:6" x14ac:dyDescent="0.25">
      <c r="A196" t="s">
        <v>284</v>
      </c>
      <c r="B196" t="s">
        <v>55</v>
      </c>
      <c r="C196">
        <v>76</v>
      </c>
      <c r="D196" s="51">
        <v>33.409999847412109</v>
      </c>
      <c r="E196">
        <v>31.92</v>
      </c>
      <c r="F196" s="51">
        <v>-113.23998840332018</v>
      </c>
    </row>
    <row r="197" spans="1:6" x14ac:dyDescent="0.25">
      <c r="A197" t="s">
        <v>285</v>
      </c>
      <c r="B197" t="s">
        <v>37</v>
      </c>
      <c r="C197">
        <v>352</v>
      </c>
      <c r="D197" s="51">
        <v>32.860000610351563</v>
      </c>
      <c r="E197">
        <v>27.44</v>
      </c>
      <c r="F197" s="51">
        <v>-1907.8402148437494</v>
      </c>
    </row>
    <row r="198" spans="1:6" x14ac:dyDescent="0.25">
      <c r="A198" t="s">
        <v>286</v>
      </c>
      <c r="B198" t="s">
        <v>40</v>
      </c>
      <c r="C198">
        <v>379</v>
      </c>
      <c r="D198" s="51">
        <v>87.169998168945313</v>
      </c>
      <c r="E198">
        <v>112.06</v>
      </c>
      <c r="F198" s="51">
        <v>9433.3106939697282</v>
      </c>
    </row>
    <row r="199" spans="1:6" x14ac:dyDescent="0.25">
      <c r="A199" t="s">
        <v>287</v>
      </c>
      <c r="B199" t="s">
        <v>52</v>
      </c>
      <c r="C199">
        <v>729</v>
      </c>
      <c r="D199" s="51">
        <v>30.590000152587891</v>
      </c>
      <c r="E199">
        <v>29.92</v>
      </c>
      <c r="F199" s="51">
        <v>-488.43011123657101</v>
      </c>
    </row>
    <row r="200" spans="1:6" x14ac:dyDescent="0.25">
      <c r="A200" t="s">
        <v>288</v>
      </c>
      <c r="B200" t="s">
        <v>90</v>
      </c>
      <c r="C200">
        <v>92</v>
      </c>
      <c r="D200" s="51">
        <v>63.119998931884766</v>
      </c>
      <c r="E200">
        <v>63.13</v>
      </c>
      <c r="F200" s="51">
        <v>0.92009826660179783</v>
      </c>
    </row>
    <row r="201" spans="1:6" x14ac:dyDescent="0.25">
      <c r="A201" t="s">
        <v>289</v>
      </c>
      <c r="B201" t="s">
        <v>96</v>
      </c>
      <c r="C201">
        <v>408</v>
      </c>
      <c r="D201" s="51">
        <v>108.26999664306641</v>
      </c>
      <c r="E201">
        <v>88.39</v>
      </c>
      <c r="F201" s="51">
        <v>-8111.0386303710939</v>
      </c>
    </row>
    <row r="202" spans="1:6" x14ac:dyDescent="0.25">
      <c r="A202" t="s">
        <v>290</v>
      </c>
      <c r="B202" t="s">
        <v>96</v>
      </c>
      <c r="C202">
        <v>266</v>
      </c>
      <c r="D202" s="51">
        <v>95.900001525878906</v>
      </c>
      <c r="E202">
        <v>93.64</v>
      </c>
      <c r="F202" s="51">
        <v>-601.16040588378894</v>
      </c>
    </row>
    <row r="203" spans="1:6" x14ac:dyDescent="0.25">
      <c r="A203" t="s">
        <v>291</v>
      </c>
      <c r="B203" t="s">
        <v>105</v>
      </c>
      <c r="C203">
        <v>541</v>
      </c>
      <c r="D203" s="51">
        <v>70.050003051757813</v>
      </c>
      <c r="E203">
        <v>82.34</v>
      </c>
      <c r="F203" s="51">
        <v>6648.8883489990249</v>
      </c>
    </row>
    <row r="204" spans="1:6" x14ac:dyDescent="0.25">
      <c r="A204" t="s">
        <v>292</v>
      </c>
      <c r="B204" t="s">
        <v>48</v>
      </c>
      <c r="C204">
        <v>282</v>
      </c>
      <c r="D204" s="51">
        <v>21.690000534057617</v>
      </c>
      <c r="E204">
        <v>18.72</v>
      </c>
      <c r="F204" s="51">
        <v>-837.54015060424831</v>
      </c>
    </row>
    <row r="205" spans="1:6" x14ac:dyDescent="0.25">
      <c r="A205" t="s">
        <v>293</v>
      </c>
      <c r="B205" t="s">
        <v>37</v>
      </c>
      <c r="C205">
        <v>859</v>
      </c>
      <c r="D205" s="51">
        <v>46.630001068115234</v>
      </c>
      <c r="E205">
        <v>56.07</v>
      </c>
      <c r="F205" s="51">
        <v>8108.9590824890138</v>
      </c>
    </row>
    <row r="206" spans="1:6" x14ac:dyDescent="0.25">
      <c r="A206" t="s">
        <v>294</v>
      </c>
      <c r="B206" t="s">
        <v>55</v>
      </c>
      <c r="C206">
        <v>347</v>
      </c>
      <c r="D206" s="51">
        <v>28.229999542236328</v>
      </c>
      <c r="E206">
        <v>33.32</v>
      </c>
      <c r="F206" s="51">
        <v>1766.2301588439943</v>
      </c>
    </row>
    <row r="207" spans="1:6" x14ac:dyDescent="0.25">
      <c r="A207" t="s">
        <v>295</v>
      </c>
      <c r="B207" t="s">
        <v>90</v>
      </c>
      <c r="C207">
        <v>171</v>
      </c>
      <c r="D207" s="51">
        <v>45.299999237060547</v>
      </c>
      <c r="E207">
        <v>48.29</v>
      </c>
      <c r="F207" s="51">
        <v>511.29013046264635</v>
      </c>
    </row>
    <row r="208" spans="1:6" x14ac:dyDescent="0.25">
      <c r="A208" t="s">
        <v>296</v>
      </c>
      <c r="B208" t="s">
        <v>55</v>
      </c>
      <c r="C208">
        <v>995</v>
      </c>
      <c r="D208" s="51">
        <v>104.83000183105469</v>
      </c>
      <c r="E208">
        <v>127.99</v>
      </c>
      <c r="F208" s="51">
        <v>23044.198178100582</v>
      </c>
    </row>
    <row r="209" spans="1:6" x14ac:dyDescent="0.25">
      <c r="A209" t="s">
        <v>297</v>
      </c>
      <c r="B209" t="s">
        <v>37</v>
      </c>
      <c r="C209">
        <v>864</v>
      </c>
      <c r="D209" s="51">
        <v>99.879997253417969</v>
      </c>
      <c r="E209">
        <v>105.63</v>
      </c>
      <c r="F209" s="51">
        <v>4968.0023730468711</v>
      </c>
    </row>
    <row r="210" spans="1:6" x14ac:dyDescent="0.25">
      <c r="A210" t="s">
        <v>298</v>
      </c>
      <c r="B210" t="s">
        <v>48</v>
      </c>
      <c r="C210">
        <v>591</v>
      </c>
      <c r="D210" s="51">
        <v>92.349998474121094</v>
      </c>
      <c r="E210">
        <v>106.14</v>
      </c>
      <c r="F210" s="51">
        <v>8149.8909017944343</v>
      </c>
    </row>
    <row r="211" spans="1:6" x14ac:dyDescent="0.25">
      <c r="A211" t="s">
        <v>299</v>
      </c>
      <c r="B211" t="s">
        <v>48</v>
      </c>
      <c r="C211">
        <v>404</v>
      </c>
      <c r="D211" s="51">
        <v>20.799999237060547</v>
      </c>
      <c r="E211">
        <v>26.83</v>
      </c>
      <c r="F211" s="51">
        <v>2436.1203082275383</v>
      </c>
    </row>
    <row r="212" spans="1:6" x14ac:dyDescent="0.25">
      <c r="A212" t="s">
        <v>300</v>
      </c>
      <c r="B212" t="s">
        <v>55</v>
      </c>
      <c r="C212">
        <v>828</v>
      </c>
      <c r="D212" s="51">
        <v>33.240001678466797</v>
      </c>
      <c r="E212">
        <v>36.619999999999997</v>
      </c>
      <c r="F212" s="51">
        <v>2798.63861022949</v>
      </c>
    </row>
    <row r="213" spans="1:6" x14ac:dyDescent="0.25">
      <c r="A213" t="s">
        <v>301</v>
      </c>
      <c r="B213" t="s">
        <v>55</v>
      </c>
      <c r="C213">
        <v>834</v>
      </c>
      <c r="D213" s="51">
        <v>44.990001678466797</v>
      </c>
      <c r="E213">
        <v>35.86</v>
      </c>
      <c r="F213" s="51">
        <v>-7614.4213998413088</v>
      </c>
    </row>
    <row r="214" spans="1:6" x14ac:dyDescent="0.25">
      <c r="A214" t="s">
        <v>302</v>
      </c>
      <c r="B214" t="s">
        <v>90</v>
      </c>
      <c r="C214">
        <v>224</v>
      </c>
      <c r="D214" s="51">
        <v>21.469999313354492</v>
      </c>
      <c r="E214">
        <v>19.02</v>
      </c>
      <c r="F214" s="51">
        <v>-548.79984619140635</v>
      </c>
    </row>
    <row r="215" spans="1:6" x14ac:dyDescent="0.25">
      <c r="A215" t="s">
        <v>303</v>
      </c>
      <c r="B215" t="s">
        <v>48</v>
      </c>
      <c r="C215">
        <v>275</v>
      </c>
      <c r="D215" s="51">
        <v>86</v>
      </c>
      <c r="E215">
        <v>71.91</v>
      </c>
      <c r="F215" s="51">
        <v>-3874.7500000000009</v>
      </c>
    </row>
    <row r="216" spans="1:6" x14ac:dyDescent="0.25">
      <c r="A216" t="s">
        <v>304</v>
      </c>
      <c r="B216" t="s">
        <v>48</v>
      </c>
      <c r="C216">
        <v>628</v>
      </c>
      <c r="D216" s="51">
        <v>52.619998931884766</v>
      </c>
      <c r="E216">
        <v>46.43</v>
      </c>
      <c r="F216" s="51">
        <v>-3887.3193292236328</v>
      </c>
    </row>
    <row r="217" spans="1:6" x14ac:dyDescent="0.25">
      <c r="A217" t="s">
        <v>305</v>
      </c>
      <c r="B217" t="s">
        <v>37</v>
      </c>
      <c r="C217">
        <v>428</v>
      </c>
      <c r="D217" s="51">
        <v>83.900001525878906</v>
      </c>
      <c r="E217">
        <v>82.68</v>
      </c>
      <c r="F217" s="51">
        <v>-522.16065307616896</v>
      </c>
    </row>
    <row r="218" spans="1:6" x14ac:dyDescent="0.25">
      <c r="A218" t="s">
        <v>306</v>
      </c>
      <c r="B218" t="s">
        <v>52</v>
      </c>
      <c r="C218">
        <v>716</v>
      </c>
      <c r="D218" s="51">
        <v>73.790000915527344</v>
      </c>
      <c r="E218">
        <v>84.3</v>
      </c>
      <c r="F218" s="51">
        <v>7525.1593444824202</v>
      </c>
    </row>
    <row r="219" spans="1:6" x14ac:dyDescent="0.25">
      <c r="A219" t="s">
        <v>307</v>
      </c>
      <c r="B219" t="s">
        <v>37</v>
      </c>
      <c r="C219">
        <v>70</v>
      </c>
      <c r="D219" s="51">
        <v>55.360000610351563</v>
      </c>
      <c r="E219">
        <v>68.94</v>
      </c>
      <c r="F219" s="51">
        <v>950.59995727539047</v>
      </c>
    </row>
    <row r="220" spans="1:6" x14ac:dyDescent="0.25">
      <c r="A220" t="s">
        <v>308</v>
      </c>
      <c r="B220" t="s">
        <v>96</v>
      </c>
      <c r="C220">
        <v>494</v>
      </c>
      <c r="D220" s="51">
        <v>33.669998168945313</v>
      </c>
      <c r="E220">
        <v>36.71</v>
      </c>
      <c r="F220" s="51">
        <v>1501.7609045410161</v>
      </c>
    </row>
    <row r="221" spans="1:6" x14ac:dyDescent="0.25">
      <c r="A221" t="s">
        <v>309</v>
      </c>
      <c r="B221" t="s">
        <v>105</v>
      </c>
      <c r="C221">
        <v>558</v>
      </c>
      <c r="D221" s="51">
        <v>43.580001831054688</v>
      </c>
      <c r="E221">
        <v>49.58</v>
      </c>
      <c r="F221" s="51">
        <v>3347.9989782714833</v>
      </c>
    </row>
    <row r="222" spans="1:6" x14ac:dyDescent="0.25">
      <c r="A222" t="s">
        <v>310</v>
      </c>
      <c r="B222" t="s">
        <v>55</v>
      </c>
      <c r="C222">
        <v>792</v>
      </c>
      <c r="D222" s="51">
        <v>32.509998321533203</v>
      </c>
      <c r="E222">
        <v>33.200000000000003</v>
      </c>
      <c r="F222" s="51">
        <v>546.48132934570538</v>
      </c>
    </row>
    <row r="223" spans="1:6" x14ac:dyDescent="0.25">
      <c r="A223" t="s">
        <v>311</v>
      </c>
      <c r="B223" t="s">
        <v>37</v>
      </c>
      <c r="C223">
        <v>324</v>
      </c>
      <c r="D223" s="51">
        <v>68.330001831054688</v>
      </c>
      <c r="E223">
        <v>82.47</v>
      </c>
      <c r="F223" s="51">
        <v>4581.359406738281</v>
      </c>
    </row>
    <row r="224" spans="1:6" x14ac:dyDescent="0.25">
      <c r="A224" t="s">
        <v>312</v>
      </c>
      <c r="B224" t="s">
        <v>43</v>
      </c>
      <c r="C224">
        <v>772</v>
      </c>
      <c r="D224" s="51">
        <v>72.110000610351563</v>
      </c>
      <c r="E224">
        <v>86.74</v>
      </c>
      <c r="F224" s="51">
        <v>11294.359528808589</v>
      </c>
    </row>
    <row r="225" spans="1:6" x14ac:dyDescent="0.25">
      <c r="A225" t="s">
        <v>313</v>
      </c>
      <c r="B225" t="s">
        <v>43</v>
      </c>
      <c r="C225">
        <v>382</v>
      </c>
      <c r="D225" s="51">
        <v>75.959999084472656</v>
      </c>
      <c r="E225">
        <v>69.790000000000006</v>
      </c>
      <c r="F225" s="51">
        <v>-2356.9396502685522</v>
      </c>
    </row>
    <row r="226" spans="1:6" x14ac:dyDescent="0.25">
      <c r="A226" t="s">
        <v>314</v>
      </c>
      <c r="B226" t="s">
        <v>90</v>
      </c>
      <c r="C226">
        <v>423</v>
      </c>
      <c r="D226" s="51">
        <v>105.83999633789063</v>
      </c>
      <c r="E226">
        <v>103.16</v>
      </c>
      <c r="F226" s="51">
        <v>-1133.6384509277359</v>
      </c>
    </row>
    <row r="227" spans="1:6" x14ac:dyDescent="0.25">
      <c r="A227" t="s">
        <v>315</v>
      </c>
      <c r="B227" t="s">
        <v>90</v>
      </c>
      <c r="C227">
        <v>822</v>
      </c>
      <c r="D227" s="51">
        <v>89.360000610351563</v>
      </c>
      <c r="E227">
        <v>68</v>
      </c>
      <c r="F227" s="51">
        <v>-17557.920501708984</v>
      </c>
    </row>
    <row r="228" spans="1:6" x14ac:dyDescent="0.25">
      <c r="A228" t="s">
        <v>316</v>
      </c>
      <c r="B228" t="s">
        <v>105</v>
      </c>
      <c r="C228">
        <v>61</v>
      </c>
      <c r="D228" s="51">
        <v>88.629997253417969</v>
      </c>
      <c r="E228">
        <v>75.12</v>
      </c>
      <c r="F228" s="51">
        <v>-824.10983245849582</v>
      </c>
    </row>
    <row r="229" spans="1:6" x14ac:dyDescent="0.25">
      <c r="A229" t="s">
        <v>317</v>
      </c>
      <c r="B229" t="s">
        <v>46</v>
      </c>
      <c r="C229">
        <v>312</v>
      </c>
      <c r="D229" s="51">
        <v>58</v>
      </c>
      <c r="E229">
        <v>43.11</v>
      </c>
      <c r="F229" s="51">
        <v>-4645.68</v>
      </c>
    </row>
    <row r="230" spans="1:6" x14ac:dyDescent="0.25">
      <c r="A230" t="s">
        <v>318</v>
      </c>
      <c r="B230" t="s">
        <v>46</v>
      </c>
      <c r="C230">
        <v>832</v>
      </c>
      <c r="D230" s="51">
        <v>26.969999313354492</v>
      </c>
      <c r="E230">
        <v>27.1</v>
      </c>
      <c r="F230" s="51">
        <v>108.16057128906368</v>
      </c>
    </row>
    <row r="231" spans="1:6" x14ac:dyDescent="0.25">
      <c r="A231" t="s">
        <v>319</v>
      </c>
      <c r="B231" t="s">
        <v>55</v>
      </c>
      <c r="C231">
        <v>599</v>
      </c>
      <c r="D231" s="51">
        <v>107.91000366210938</v>
      </c>
      <c r="E231">
        <v>139.97999999999999</v>
      </c>
      <c r="F231" s="51">
        <v>19209.927806396478</v>
      </c>
    </row>
    <row r="232" spans="1:6" x14ac:dyDescent="0.25">
      <c r="A232" t="s">
        <v>320</v>
      </c>
      <c r="B232" t="s">
        <v>105</v>
      </c>
      <c r="C232">
        <v>208</v>
      </c>
      <c r="D232" s="51">
        <v>28.930000305175781</v>
      </c>
      <c r="E232">
        <v>28.98</v>
      </c>
      <c r="F232" s="51">
        <v>10.399936523437589</v>
      </c>
    </row>
    <row r="233" spans="1:6" x14ac:dyDescent="0.25">
      <c r="A233" t="s">
        <v>321</v>
      </c>
      <c r="B233" t="s">
        <v>37</v>
      </c>
      <c r="C233">
        <v>1008</v>
      </c>
      <c r="D233" s="51">
        <v>91.669998168945313</v>
      </c>
      <c r="E233">
        <v>107.82</v>
      </c>
      <c r="F233" s="51">
        <v>16279.201845703119</v>
      </c>
    </row>
    <row r="234" spans="1:6" x14ac:dyDescent="0.25">
      <c r="A234" t="s">
        <v>322</v>
      </c>
      <c r="B234" t="s">
        <v>90</v>
      </c>
      <c r="C234">
        <v>492</v>
      </c>
      <c r="D234" s="51">
        <v>54.119998931884766</v>
      </c>
      <c r="E234">
        <v>68.44</v>
      </c>
      <c r="F234" s="51">
        <v>7045.440525512694</v>
      </c>
    </row>
    <row r="235" spans="1:6" x14ac:dyDescent="0.25">
      <c r="A235" t="s">
        <v>323</v>
      </c>
      <c r="B235" t="s">
        <v>55</v>
      </c>
      <c r="C235">
        <v>941</v>
      </c>
      <c r="D235" s="51">
        <v>38.430000305175781</v>
      </c>
      <c r="E235">
        <v>29.04</v>
      </c>
      <c r="F235" s="51">
        <v>-8835.9902871704107</v>
      </c>
    </row>
    <row r="236" spans="1:6" x14ac:dyDescent="0.25">
      <c r="A236" t="s">
        <v>324</v>
      </c>
      <c r="B236" t="s">
        <v>48</v>
      </c>
      <c r="C236">
        <v>311</v>
      </c>
      <c r="D236" s="51">
        <v>63.720001220703125</v>
      </c>
      <c r="E236">
        <v>63.24</v>
      </c>
      <c r="F236" s="51">
        <v>-149.28037963867126</v>
      </c>
    </row>
    <row r="237" spans="1:6" x14ac:dyDescent="0.25">
      <c r="A237" t="s">
        <v>325</v>
      </c>
      <c r="B237" t="s">
        <v>96</v>
      </c>
      <c r="C237">
        <v>379</v>
      </c>
      <c r="D237" s="51">
        <v>103.90000152587891</v>
      </c>
      <c r="E237">
        <v>117.65</v>
      </c>
      <c r="F237" s="51">
        <v>5211.2494216918967</v>
      </c>
    </row>
    <row r="238" spans="1:6" x14ac:dyDescent="0.25">
      <c r="A238" t="s">
        <v>326</v>
      </c>
      <c r="B238" t="s">
        <v>46</v>
      </c>
      <c r="C238">
        <v>125</v>
      </c>
      <c r="D238" s="51">
        <v>70.480003356933594</v>
      </c>
      <c r="E238">
        <v>60.32</v>
      </c>
      <c r="F238" s="51">
        <v>-1270.0004196166992</v>
      </c>
    </row>
    <row r="239" spans="1:6" x14ac:dyDescent="0.25">
      <c r="A239" t="s">
        <v>327</v>
      </c>
      <c r="B239" t="s">
        <v>46</v>
      </c>
      <c r="C239">
        <v>381</v>
      </c>
      <c r="D239" s="51">
        <v>20.370000839233398</v>
      </c>
      <c r="E239">
        <v>16.82</v>
      </c>
      <c r="F239" s="51">
        <v>-1352.5503197479247</v>
      </c>
    </row>
    <row r="240" spans="1:6" x14ac:dyDescent="0.25">
      <c r="A240" t="s">
        <v>328</v>
      </c>
      <c r="B240" t="s">
        <v>48</v>
      </c>
      <c r="C240">
        <v>718</v>
      </c>
      <c r="D240" s="51">
        <v>88.699996948242188</v>
      </c>
      <c r="E240">
        <v>79.58</v>
      </c>
      <c r="F240" s="51">
        <v>-6548.1578088378919</v>
      </c>
    </row>
    <row r="241" spans="1:6" x14ac:dyDescent="0.25">
      <c r="A241" t="s">
        <v>329</v>
      </c>
      <c r="B241" t="s">
        <v>55</v>
      </c>
      <c r="C241">
        <v>585</v>
      </c>
      <c r="D241" s="51">
        <v>46.659999847412109</v>
      </c>
      <c r="E241">
        <v>40.9</v>
      </c>
      <c r="F241" s="51">
        <v>-3369.5999107360849</v>
      </c>
    </row>
    <row r="242" spans="1:6" x14ac:dyDescent="0.25">
      <c r="A242" t="s">
        <v>330</v>
      </c>
      <c r="B242" t="s">
        <v>96</v>
      </c>
      <c r="C242">
        <v>704</v>
      </c>
      <c r="D242" s="51">
        <v>84.260002136230469</v>
      </c>
      <c r="E242">
        <v>70.02</v>
      </c>
      <c r="F242" s="51">
        <v>-10024.961503906252</v>
      </c>
    </row>
    <row r="243" spans="1:6" x14ac:dyDescent="0.25">
      <c r="A243" t="s">
        <v>331</v>
      </c>
      <c r="B243" t="s">
        <v>46</v>
      </c>
      <c r="C243">
        <v>707</v>
      </c>
      <c r="D243" s="51">
        <v>18.180000305175781</v>
      </c>
      <c r="E243">
        <v>17.23</v>
      </c>
      <c r="F243" s="51">
        <v>-671.65021575927699</v>
      </c>
    </row>
    <row r="244" spans="1:6" x14ac:dyDescent="0.25">
      <c r="A244" t="s">
        <v>332</v>
      </c>
      <c r="B244" t="s">
        <v>46</v>
      </c>
      <c r="C244">
        <v>1026</v>
      </c>
      <c r="D244" s="51">
        <v>24.579999923706055</v>
      </c>
      <c r="E244">
        <v>23.19</v>
      </c>
      <c r="F244" s="51">
        <v>-1426.1399217224107</v>
      </c>
    </row>
    <row r="245" spans="1:6" x14ac:dyDescent="0.25">
      <c r="A245" t="s">
        <v>333</v>
      </c>
      <c r="B245" t="s">
        <v>37</v>
      </c>
      <c r="C245">
        <v>1038</v>
      </c>
      <c r="D245" s="51">
        <v>96.889999389648438</v>
      </c>
      <c r="E245">
        <v>79.81</v>
      </c>
      <c r="F245" s="51">
        <v>-17729.039366455076</v>
      </c>
    </row>
    <row r="246" spans="1:6" x14ac:dyDescent="0.25">
      <c r="A246" t="s">
        <v>334</v>
      </c>
      <c r="B246" t="s">
        <v>96</v>
      </c>
      <c r="C246">
        <v>453</v>
      </c>
      <c r="D246" s="51">
        <v>28.659999847412109</v>
      </c>
      <c r="E246">
        <v>34.18</v>
      </c>
      <c r="F246" s="51">
        <v>2500.5600691223144</v>
      </c>
    </row>
    <row r="247" spans="1:6" x14ac:dyDescent="0.25">
      <c r="A247" t="s">
        <v>335</v>
      </c>
      <c r="B247" t="s">
        <v>55</v>
      </c>
      <c r="C247">
        <v>952</v>
      </c>
      <c r="D247" s="51">
        <v>21.319999694824219</v>
      </c>
      <c r="E247">
        <v>15.16</v>
      </c>
      <c r="F247" s="51">
        <v>-5864.3197094726565</v>
      </c>
    </row>
    <row r="248" spans="1:6" x14ac:dyDescent="0.25">
      <c r="A248" t="s">
        <v>336</v>
      </c>
      <c r="B248" t="s">
        <v>48</v>
      </c>
      <c r="C248">
        <v>82</v>
      </c>
      <c r="D248" s="51">
        <v>17.059999465942383</v>
      </c>
      <c r="E248">
        <v>15.5</v>
      </c>
      <c r="F248" s="51">
        <v>-127.91995620727539</v>
      </c>
    </row>
    <row r="249" spans="1:6" x14ac:dyDescent="0.25">
      <c r="A249" t="s">
        <v>337</v>
      </c>
      <c r="B249" t="s">
        <v>37</v>
      </c>
      <c r="C249">
        <v>397</v>
      </c>
      <c r="D249" s="51">
        <v>56.560001373291016</v>
      </c>
      <c r="E249">
        <v>53.09</v>
      </c>
      <c r="F249" s="51">
        <v>-1377.5905451965318</v>
      </c>
    </row>
    <row r="250" spans="1:6" x14ac:dyDescent="0.25">
      <c r="A250" t="s">
        <v>338</v>
      </c>
      <c r="B250" t="s">
        <v>52</v>
      </c>
      <c r="C250">
        <v>842</v>
      </c>
      <c r="D250" s="51">
        <v>61.889999389648438</v>
      </c>
      <c r="E250">
        <v>55.25</v>
      </c>
      <c r="F250" s="51">
        <v>-5590.8794860839844</v>
      </c>
    </row>
    <row r="251" spans="1:6" x14ac:dyDescent="0.25">
      <c r="A251" t="s">
        <v>339</v>
      </c>
      <c r="B251" t="s">
        <v>55</v>
      </c>
      <c r="C251">
        <v>402</v>
      </c>
      <c r="D251" s="51">
        <v>44.25</v>
      </c>
      <c r="E251">
        <v>46.74</v>
      </c>
      <c r="F251" s="51">
        <v>1000.9800000000008</v>
      </c>
    </row>
    <row r="252" spans="1:6" x14ac:dyDescent="0.25">
      <c r="A252" t="s">
        <v>340</v>
      </c>
      <c r="B252" t="s">
        <v>90</v>
      </c>
      <c r="C252">
        <v>986</v>
      </c>
      <c r="D252" s="51">
        <v>36.830001831054688</v>
      </c>
      <c r="E252">
        <v>26.49</v>
      </c>
      <c r="F252" s="51">
        <v>-10195.241805419924</v>
      </c>
    </row>
    <row r="253" spans="1:6" x14ac:dyDescent="0.25">
      <c r="A253" t="s">
        <v>341</v>
      </c>
      <c r="B253" t="s">
        <v>43</v>
      </c>
      <c r="C253">
        <v>572</v>
      </c>
      <c r="D253" s="51">
        <v>52.610000610351563</v>
      </c>
      <c r="E253">
        <v>38.729999999999997</v>
      </c>
      <c r="F253" s="51">
        <v>-7939.3603491210952</v>
      </c>
    </row>
    <row r="254" spans="1:6" x14ac:dyDescent="0.25">
      <c r="A254" t="s">
        <v>342</v>
      </c>
      <c r="B254" t="s">
        <v>90</v>
      </c>
      <c r="C254">
        <v>596</v>
      </c>
      <c r="D254" s="51">
        <v>67.139999389648438</v>
      </c>
      <c r="E254">
        <v>55.99</v>
      </c>
      <c r="F254" s="51">
        <v>-6645.3996362304679</v>
      </c>
    </row>
    <row r="255" spans="1:6" x14ac:dyDescent="0.25">
      <c r="A255" t="s">
        <v>343</v>
      </c>
      <c r="B255" t="s">
        <v>105</v>
      </c>
      <c r="C255">
        <v>592</v>
      </c>
      <c r="D255" s="51">
        <v>26.409999847412109</v>
      </c>
      <c r="E255">
        <v>33.61</v>
      </c>
      <c r="F255" s="51">
        <v>4262.4000903320311</v>
      </c>
    </row>
    <row r="256" spans="1:6" x14ac:dyDescent="0.25">
      <c r="A256" t="s">
        <v>344</v>
      </c>
      <c r="B256" t="s">
        <v>48</v>
      </c>
      <c r="C256">
        <v>83</v>
      </c>
      <c r="D256" s="51">
        <v>79.610000610351563</v>
      </c>
      <c r="E256">
        <v>83.89</v>
      </c>
      <c r="F256" s="51">
        <v>355.23994934082037</v>
      </c>
    </row>
    <row r="257" spans="1:6" x14ac:dyDescent="0.25">
      <c r="A257" t="s">
        <v>345</v>
      </c>
      <c r="B257" t="s">
        <v>96</v>
      </c>
      <c r="C257">
        <v>723</v>
      </c>
      <c r="D257" s="51">
        <v>36.990001678466797</v>
      </c>
      <c r="E257">
        <v>39.99</v>
      </c>
      <c r="F257" s="51">
        <v>2168.9987864685072</v>
      </c>
    </row>
    <row r="258" spans="1:6" x14ac:dyDescent="0.25">
      <c r="A258" t="s">
        <v>346</v>
      </c>
      <c r="B258" t="s">
        <v>105</v>
      </c>
      <c r="C258">
        <v>686</v>
      </c>
      <c r="D258" s="51">
        <v>52.619998931884766</v>
      </c>
      <c r="E258">
        <v>45.7</v>
      </c>
      <c r="F258" s="51">
        <v>-4747.1192672729476</v>
      </c>
    </row>
    <row r="259" spans="1:6" x14ac:dyDescent="0.25">
      <c r="A259" t="s">
        <v>347</v>
      </c>
      <c r="B259" t="s">
        <v>105</v>
      </c>
      <c r="C259">
        <v>307</v>
      </c>
      <c r="D259" s="51">
        <v>32.25</v>
      </c>
      <c r="E259">
        <v>25.79</v>
      </c>
      <c r="F259" s="51">
        <v>-1983.2200000000003</v>
      </c>
    </row>
    <row r="260" spans="1:6" x14ac:dyDescent="0.25">
      <c r="A260" t="s">
        <v>348</v>
      </c>
      <c r="B260" t="s">
        <v>40</v>
      </c>
      <c r="C260">
        <v>972</v>
      </c>
      <c r="D260" s="51">
        <v>66.099998474121094</v>
      </c>
      <c r="E260">
        <v>62.07</v>
      </c>
      <c r="F260" s="51">
        <v>-3917.1585168457027</v>
      </c>
    </row>
    <row r="261" spans="1:6" x14ac:dyDescent="0.25">
      <c r="A261" t="s">
        <v>349</v>
      </c>
      <c r="B261" t="s">
        <v>48</v>
      </c>
      <c r="C261">
        <v>261</v>
      </c>
      <c r="D261" s="51">
        <v>86.660003662109375</v>
      </c>
      <c r="E261">
        <v>102.98</v>
      </c>
      <c r="F261" s="51">
        <v>4259.5190441894538</v>
      </c>
    </row>
    <row r="262" spans="1:6" x14ac:dyDescent="0.25">
      <c r="A262" t="s">
        <v>350</v>
      </c>
      <c r="B262" t="s">
        <v>46</v>
      </c>
      <c r="C262">
        <v>336</v>
      </c>
      <c r="D262" s="51">
        <v>51.540000915527344</v>
      </c>
      <c r="E262">
        <v>51.47</v>
      </c>
      <c r="F262" s="51">
        <v>-23.520307617187882</v>
      </c>
    </row>
    <row r="263" spans="1:6" x14ac:dyDescent="0.25">
      <c r="A263" t="s">
        <v>351</v>
      </c>
      <c r="B263" t="s">
        <v>40</v>
      </c>
      <c r="C263">
        <v>582</v>
      </c>
      <c r="D263" s="51">
        <v>51.240001678466797</v>
      </c>
      <c r="E263">
        <v>52.68</v>
      </c>
      <c r="F263" s="51">
        <v>838.0790231323241</v>
      </c>
    </row>
    <row r="264" spans="1:6" x14ac:dyDescent="0.25">
      <c r="A264" t="s">
        <v>352</v>
      </c>
      <c r="B264" t="s">
        <v>40</v>
      </c>
      <c r="C264">
        <v>501</v>
      </c>
      <c r="D264" s="51">
        <v>42</v>
      </c>
      <c r="E264">
        <v>31.6</v>
      </c>
      <c r="F264" s="51">
        <v>-5210.3999999999996</v>
      </c>
    </row>
    <row r="265" spans="1:6" x14ac:dyDescent="0.25">
      <c r="A265" t="s">
        <v>353</v>
      </c>
      <c r="B265" t="s">
        <v>48</v>
      </c>
      <c r="C265">
        <v>846</v>
      </c>
      <c r="D265" s="51">
        <v>103.58000183105469</v>
      </c>
      <c r="E265">
        <v>105.93</v>
      </c>
      <c r="F265" s="51">
        <v>1988.09845092774</v>
      </c>
    </row>
    <row r="266" spans="1:6" x14ac:dyDescent="0.25">
      <c r="A266" t="s">
        <v>354</v>
      </c>
      <c r="B266" t="s">
        <v>48</v>
      </c>
      <c r="C266">
        <v>1018</v>
      </c>
      <c r="D266" s="51">
        <v>22.100000381469727</v>
      </c>
      <c r="E266">
        <v>17.170000000000002</v>
      </c>
      <c r="F266" s="51">
        <v>-5018.7403883361803</v>
      </c>
    </row>
    <row r="267" spans="1:6" x14ac:dyDescent="0.25">
      <c r="A267" t="s">
        <v>355</v>
      </c>
      <c r="B267" t="s">
        <v>48</v>
      </c>
      <c r="C267">
        <v>703</v>
      </c>
      <c r="D267" s="51">
        <v>97.819999694824219</v>
      </c>
      <c r="E267">
        <v>107.34</v>
      </c>
      <c r="F267" s="51">
        <v>6692.5602145385765</v>
      </c>
    </row>
    <row r="268" spans="1:6" x14ac:dyDescent="0.25">
      <c r="A268" t="s">
        <v>356</v>
      </c>
      <c r="B268" t="s">
        <v>55</v>
      </c>
      <c r="C268">
        <v>766</v>
      </c>
      <c r="D268" s="51">
        <v>78.010002136230469</v>
      </c>
      <c r="E268">
        <v>79.650000000000006</v>
      </c>
      <c r="F268" s="51">
        <v>1256.2383636474653</v>
      </c>
    </row>
    <row r="269" spans="1:6" x14ac:dyDescent="0.25">
      <c r="A269" t="s">
        <v>357</v>
      </c>
      <c r="B269" t="s">
        <v>52</v>
      </c>
      <c r="C269">
        <v>387</v>
      </c>
      <c r="D269" s="51">
        <v>14.689999580383301</v>
      </c>
      <c r="E269">
        <v>19.079999999999998</v>
      </c>
      <c r="F269" s="51">
        <v>1698.930162391662</v>
      </c>
    </row>
    <row r="270" spans="1:6" x14ac:dyDescent="0.25">
      <c r="A270" t="s">
        <v>358</v>
      </c>
      <c r="B270" t="s">
        <v>40</v>
      </c>
      <c r="C270">
        <v>454</v>
      </c>
      <c r="D270" s="51">
        <v>47.490001678466797</v>
      </c>
      <c r="E270">
        <v>52.5</v>
      </c>
      <c r="F270" s="51">
        <v>2274.5392379760742</v>
      </c>
    </row>
    <row r="271" spans="1:6" x14ac:dyDescent="0.25">
      <c r="A271" t="s">
        <v>359</v>
      </c>
      <c r="B271" t="s">
        <v>90</v>
      </c>
      <c r="C271">
        <v>205</v>
      </c>
      <c r="D271" s="51">
        <v>11.449999809265137</v>
      </c>
      <c r="E271">
        <v>10.27</v>
      </c>
      <c r="F271" s="51">
        <v>-241.89996089935312</v>
      </c>
    </row>
    <row r="272" spans="1:6" x14ac:dyDescent="0.25">
      <c r="A272" t="s">
        <v>360</v>
      </c>
      <c r="B272" t="s">
        <v>52</v>
      </c>
      <c r="C272">
        <v>117</v>
      </c>
      <c r="D272" s="51">
        <v>69.839996337890625</v>
      </c>
      <c r="E272">
        <v>85.39</v>
      </c>
      <c r="F272" s="51">
        <v>1819.350428466797</v>
      </c>
    </row>
    <row r="273" spans="1:6" x14ac:dyDescent="0.25">
      <c r="A273" t="s">
        <v>361</v>
      </c>
      <c r="B273" t="s">
        <v>43</v>
      </c>
      <c r="C273">
        <v>1045</v>
      </c>
      <c r="D273" s="51">
        <v>71.949996948242188</v>
      </c>
      <c r="E273">
        <v>77.87</v>
      </c>
      <c r="F273" s="51">
        <v>6186.4031890869192</v>
      </c>
    </row>
    <row r="274" spans="1:6" x14ac:dyDescent="0.25">
      <c r="A274" t="s">
        <v>362</v>
      </c>
      <c r="B274" t="s">
        <v>55</v>
      </c>
      <c r="C274">
        <v>618</v>
      </c>
      <c r="D274" s="51">
        <v>35.930000305175781</v>
      </c>
      <c r="E274">
        <v>44.44</v>
      </c>
      <c r="F274" s="51">
        <v>5259.1798114013654</v>
      </c>
    </row>
    <row r="275" spans="1:6" x14ac:dyDescent="0.25">
      <c r="A275" t="s">
        <v>363</v>
      </c>
      <c r="B275" t="s">
        <v>40</v>
      </c>
      <c r="C275">
        <v>873</v>
      </c>
      <c r="D275" s="51">
        <v>56.580001831054688</v>
      </c>
      <c r="E275">
        <v>60.39</v>
      </c>
      <c r="F275" s="51">
        <v>3326.1284014892585</v>
      </c>
    </row>
    <row r="276" spans="1:6" x14ac:dyDescent="0.25">
      <c r="A276" t="s">
        <v>364</v>
      </c>
      <c r="B276" t="s">
        <v>55</v>
      </c>
      <c r="C276">
        <v>150</v>
      </c>
      <c r="D276" s="51">
        <v>38.189998626708984</v>
      </c>
      <c r="E276">
        <v>37.590000000000003</v>
      </c>
      <c r="F276" s="51">
        <v>-89.999794006347145</v>
      </c>
    </row>
    <row r="277" spans="1:6" x14ac:dyDescent="0.25">
      <c r="A277" t="s">
        <v>365</v>
      </c>
      <c r="B277" t="s">
        <v>48</v>
      </c>
      <c r="C277">
        <v>231</v>
      </c>
      <c r="D277" s="51">
        <v>52.310001373291016</v>
      </c>
      <c r="E277">
        <v>41.18</v>
      </c>
      <c r="F277" s="51">
        <v>-2571.0303172302247</v>
      </c>
    </row>
    <row r="278" spans="1:6" x14ac:dyDescent="0.25">
      <c r="A278" t="s">
        <v>366</v>
      </c>
      <c r="B278" t="s">
        <v>48</v>
      </c>
      <c r="C278">
        <v>732</v>
      </c>
      <c r="D278" s="51">
        <v>20.610000610351563</v>
      </c>
      <c r="E278">
        <v>24.18</v>
      </c>
      <c r="F278" s="51">
        <v>2613.239553222656</v>
      </c>
    </row>
    <row r="279" spans="1:6" x14ac:dyDescent="0.25">
      <c r="A279" t="s">
        <v>367</v>
      </c>
      <c r="B279" t="s">
        <v>40</v>
      </c>
      <c r="C279">
        <v>741</v>
      </c>
      <c r="D279" s="51">
        <v>22.659999847412109</v>
      </c>
      <c r="E279">
        <v>27.15</v>
      </c>
      <c r="F279" s="51">
        <v>3327.0901130676257</v>
      </c>
    </row>
    <row r="280" spans="1:6" x14ac:dyDescent="0.25">
      <c r="A280" t="s">
        <v>368</v>
      </c>
      <c r="B280" t="s">
        <v>48</v>
      </c>
      <c r="C280">
        <v>713</v>
      </c>
      <c r="D280" s="51">
        <v>28.760000228881836</v>
      </c>
      <c r="E280">
        <v>36.92</v>
      </c>
      <c r="F280" s="51">
        <v>5818.0798368072519</v>
      </c>
    </row>
    <row r="281" spans="1:6" x14ac:dyDescent="0.25">
      <c r="A281" t="s">
        <v>369</v>
      </c>
      <c r="B281" t="s">
        <v>46</v>
      </c>
      <c r="C281">
        <v>604</v>
      </c>
      <c r="D281" s="51">
        <v>57.729999542236328</v>
      </c>
      <c r="E281">
        <v>56.49</v>
      </c>
      <c r="F281" s="51">
        <v>-748.95972351074101</v>
      </c>
    </row>
    <row r="282" spans="1:6" x14ac:dyDescent="0.25">
      <c r="A282" t="s">
        <v>370</v>
      </c>
      <c r="B282" t="s">
        <v>96</v>
      </c>
      <c r="C282">
        <v>268</v>
      </c>
      <c r="D282" s="51">
        <v>59.75</v>
      </c>
      <c r="E282">
        <v>63.76</v>
      </c>
      <c r="F282" s="51">
        <v>1074.6799999999994</v>
      </c>
    </row>
    <row r="283" spans="1:6" x14ac:dyDescent="0.25">
      <c r="A283" t="s">
        <v>371</v>
      </c>
      <c r="B283" t="s">
        <v>43</v>
      </c>
      <c r="C283">
        <v>96</v>
      </c>
      <c r="D283" s="51">
        <v>24.149999618530273</v>
      </c>
      <c r="E283">
        <v>24.85</v>
      </c>
      <c r="F283" s="51">
        <v>67.200036621093886</v>
      </c>
    </row>
    <row r="284" spans="1:6" x14ac:dyDescent="0.25">
      <c r="A284" t="s">
        <v>372</v>
      </c>
      <c r="B284" t="s">
        <v>96</v>
      </c>
      <c r="C284">
        <v>904</v>
      </c>
      <c r="D284" s="51">
        <v>12.260000228881836</v>
      </c>
      <c r="E284">
        <v>10.39</v>
      </c>
      <c r="F284" s="51">
        <v>-1690.4802069091793</v>
      </c>
    </row>
    <row r="285" spans="1:6" x14ac:dyDescent="0.25">
      <c r="A285" t="s">
        <v>373</v>
      </c>
      <c r="B285" t="s">
        <v>37</v>
      </c>
      <c r="C285">
        <v>74</v>
      </c>
      <c r="D285" s="51">
        <v>15.149999618530273</v>
      </c>
      <c r="E285">
        <v>17.739999999999998</v>
      </c>
      <c r="F285" s="51">
        <v>191.66002822875964</v>
      </c>
    </row>
    <row r="286" spans="1:6" x14ac:dyDescent="0.25">
      <c r="A286" t="s">
        <v>374</v>
      </c>
      <c r="B286" t="s">
        <v>90</v>
      </c>
      <c r="C286">
        <v>950</v>
      </c>
      <c r="D286" s="51">
        <v>36.529998779296875</v>
      </c>
      <c r="E286">
        <v>44.59</v>
      </c>
      <c r="F286" s="51">
        <v>7657.0011596679724</v>
      </c>
    </row>
    <row r="287" spans="1:6" x14ac:dyDescent="0.25">
      <c r="A287" t="s">
        <v>375</v>
      </c>
      <c r="B287" t="s">
        <v>55</v>
      </c>
      <c r="C287">
        <v>472</v>
      </c>
      <c r="D287" s="51">
        <v>100.5</v>
      </c>
      <c r="E287">
        <v>105.49</v>
      </c>
      <c r="F287" s="51">
        <v>2355.2799999999975</v>
      </c>
    </row>
    <row r="288" spans="1:6" x14ac:dyDescent="0.25">
      <c r="A288" t="s">
        <v>376</v>
      </c>
      <c r="B288" t="s">
        <v>90</v>
      </c>
      <c r="C288">
        <v>70</v>
      </c>
      <c r="D288" s="51">
        <v>84.379997253417969</v>
      </c>
      <c r="E288">
        <v>80.489999999999995</v>
      </c>
      <c r="F288" s="51">
        <v>-272.2998077392582</v>
      </c>
    </row>
    <row r="289" spans="1:6" x14ac:dyDescent="0.25">
      <c r="A289" t="s">
        <v>377</v>
      </c>
      <c r="B289" t="s">
        <v>40</v>
      </c>
      <c r="C289">
        <v>802</v>
      </c>
      <c r="D289" s="51">
        <v>76.540000915527344</v>
      </c>
      <c r="E289">
        <v>78.849999999999994</v>
      </c>
      <c r="F289" s="51">
        <v>1852.6192657470658</v>
      </c>
    </row>
    <row r="290" spans="1:6" x14ac:dyDescent="0.25">
      <c r="A290" t="s">
        <v>378</v>
      </c>
      <c r="B290" t="s">
        <v>105</v>
      </c>
      <c r="C290">
        <v>750</v>
      </c>
      <c r="D290" s="51">
        <v>59.180000305175781</v>
      </c>
      <c r="E290">
        <v>52.46</v>
      </c>
      <c r="F290" s="51">
        <v>-5040.000228881835</v>
      </c>
    </row>
    <row r="291" spans="1:6" x14ac:dyDescent="0.25">
      <c r="A291" t="s">
        <v>379</v>
      </c>
      <c r="B291" t="s">
        <v>96</v>
      </c>
      <c r="C291">
        <v>655</v>
      </c>
      <c r="D291" s="51">
        <v>16.159999847412109</v>
      </c>
      <c r="E291">
        <v>11.32</v>
      </c>
      <c r="F291" s="51">
        <v>-3170.1999000549313</v>
      </c>
    </row>
    <row r="292" spans="1:6" x14ac:dyDescent="0.25">
      <c r="A292" t="s">
        <v>380</v>
      </c>
      <c r="B292" t="s">
        <v>96</v>
      </c>
      <c r="C292">
        <v>809</v>
      </c>
      <c r="D292" s="51">
        <v>65.839996337890625</v>
      </c>
      <c r="E292">
        <v>80.959999999999994</v>
      </c>
      <c r="F292" s="51">
        <v>12232.08296264648</v>
      </c>
    </row>
    <row r="293" spans="1:6" x14ac:dyDescent="0.25">
      <c r="A293" t="s">
        <v>381</v>
      </c>
      <c r="B293" t="s">
        <v>52</v>
      </c>
      <c r="C293">
        <v>198</v>
      </c>
      <c r="D293" s="51">
        <v>18.840000152587891</v>
      </c>
      <c r="E293">
        <v>18.28</v>
      </c>
      <c r="F293" s="51">
        <v>-110.88003021240212</v>
      </c>
    </row>
    <row r="294" spans="1:6" x14ac:dyDescent="0.25">
      <c r="A294" t="s">
        <v>382</v>
      </c>
      <c r="B294" t="s">
        <v>40</v>
      </c>
      <c r="C294">
        <v>891</v>
      </c>
      <c r="D294" s="51">
        <v>60.880001068115234</v>
      </c>
      <c r="E294">
        <v>77.11</v>
      </c>
      <c r="F294" s="51">
        <v>14460.929048309326</v>
      </c>
    </row>
    <row r="295" spans="1:6" x14ac:dyDescent="0.25">
      <c r="A295" t="s">
        <v>383</v>
      </c>
      <c r="B295" t="s">
        <v>37</v>
      </c>
      <c r="C295">
        <v>679</v>
      </c>
      <c r="D295" s="51">
        <v>60.590000152587891</v>
      </c>
      <c r="E295">
        <v>46.71</v>
      </c>
      <c r="F295" s="51">
        <v>-9424.5201036071776</v>
      </c>
    </row>
    <row r="296" spans="1:6" x14ac:dyDescent="0.25">
      <c r="A296" t="s">
        <v>384</v>
      </c>
      <c r="B296" t="s">
        <v>46</v>
      </c>
      <c r="C296">
        <v>969</v>
      </c>
      <c r="D296" s="51">
        <v>102.33999633789063</v>
      </c>
      <c r="E296">
        <v>87.21</v>
      </c>
      <c r="F296" s="51">
        <v>-14660.966451416021</v>
      </c>
    </row>
    <row r="297" spans="1:6" x14ac:dyDescent="0.25">
      <c r="A297" t="s">
        <v>385</v>
      </c>
      <c r="B297" t="s">
        <v>96</v>
      </c>
      <c r="C297">
        <v>922</v>
      </c>
      <c r="D297" s="51">
        <v>44.009998321533203</v>
      </c>
      <c r="E297">
        <v>42.07</v>
      </c>
      <c r="F297" s="51">
        <v>-1788.6784524536131</v>
      </c>
    </row>
    <row r="298" spans="1:6" x14ac:dyDescent="0.25">
      <c r="A298" t="s">
        <v>386</v>
      </c>
      <c r="B298" t="s">
        <v>48</v>
      </c>
      <c r="C298">
        <v>844</v>
      </c>
      <c r="D298" s="51">
        <v>99.839996337890625</v>
      </c>
      <c r="E298">
        <v>71.23</v>
      </c>
      <c r="F298" s="51">
        <v>-24146.836909179685</v>
      </c>
    </row>
    <row r="299" spans="1:6" x14ac:dyDescent="0.25">
      <c r="A299" t="s">
        <v>387</v>
      </c>
      <c r="B299" t="s">
        <v>37</v>
      </c>
      <c r="C299">
        <v>830</v>
      </c>
      <c r="D299" s="51">
        <v>48.240001678466797</v>
      </c>
      <c r="E299">
        <v>48.28</v>
      </c>
      <c r="F299" s="51">
        <v>33.198606872559537</v>
      </c>
    </row>
    <row r="300" spans="1:6" x14ac:dyDescent="0.25">
      <c r="A300" t="s">
        <v>388</v>
      </c>
      <c r="B300" t="s">
        <v>37</v>
      </c>
      <c r="C300">
        <v>647</v>
      </c>
      <c r="D300" s="51">
        <v>64.569999694824219</v>
      </c>
      <c r="E300">
        <v>61.28</v>
      </c>
      <c r="F300" s="51">
        <v>-2128.6298025512688</v>
      </c>
    </row>
    <row r="301" spans="1:6" x14ac:dyDescent="0.25">
      <c r="A301" t="s">
        <v>389</v>
      </c>
      <c r="B301" t="s">
        <v>48</v>
      </c>
      <c r="C301">
        <v>884</v>
      </c>
      <c r="D301" s="51">
        <v>78.989997863769531</v>
      </c>
      <c r="E301">
        <v>87.09</v>
      </c>
      <c r="F301" s="51">
        <v>7160.4018884277375</v>
      </c>
    </row>
    <row r="302" spans="1:6" x14ac:dyDescent="0.25">
      <c r="A302" t="s">
        <v>390</v>
      </c>
      <c r="B302" t="s">
        <v>105</v>
      </c>
      <c r="C302">
        <v>334</v>
      </c>
      <c r="D302" s="51">
        <v>59.270000457763672</v>
      </c>
      <c r="E302">
        <v>43.24</v>
      </c>
      <c r="F302" s="51">
        <v>-5354.0201528930656</v>
      </c>
    </row>
    <row r="303" spans="1:6" x14ac:dyDescent="0.25">
      <c r="A303" t="s">
        <v>391</v>
      </c>
      <c r="B303" t="s">
        <v>40</v>
      </c>
      <c r="C303">
        <v>643</v>
      </c>
      <c r="D303" s="51">
        <v>18.549999237060547</v>
      </c>
      <c r="E303">
        <v>23.75</v>
      </c>
      <c r="F303" s="51">
        <v>3343.6004905700684</v>
      </c>
    </row>
    <row r="304" spans="1:6" x14ac:dyDescent="0.25">
      <c r="A304" t="s">
        <v>392</v>
      </c>
      <c r="B304" t="s">
        <v>96</v>
      </c>
      <c r="C304">
        <v>191</v>
      </c>
      <c r="D304" s="51">
        <v>48.240001678466797</v>
      </c>
      <c r="E304">
        <v>48.11</v>
      </c>
      <c r="F304" s="51">
        <v>-24.830320587158312</v>
      </c>
    </row>
    <row r="305" spans="1:6" x14ac:dyDescent="0.25">
      <c r="A305" t="s">
        <v>393</v>
      </c>
      <c r="B305" t="s">
        <v>48</v>
      </c>
      <c r="C305">
        <v>244</v>
      </c>
      <c r="D305" s="51">
        <v>75.760002136230469</v>
      </c>
      <c r="E305">
        <v>81.42</v>
      </c>
      <c r="F305" s="51">
        <v>1381.0394787597661</v>
      </c>
    </row>
    <row r="306" spans="1:6" x14ac:dyDescent="0.25">
      <c r="A306" t="s">
        <v>394</v>
      </c>
      <c r="B306" t="s">
        <v>48</v>
      </c>
      <c r="C306">
        <v>333</v>
      </c>
      <c r="D306" s="51">
        <v>47.360000610351563</v>
      </c>
      <c r="E306">
        <v>55.27</v>
      </c>
      <c r="F306" s="51">
        <v>2634.0297967529309</v>
      </c>
    </row>
    <row r="307" spans="1:6" x14ac:dyDescent="0.25">
      <c r="A307" t="s">
        <v>395</v>
      </c>
      <c r="B307" t="s">
        <v>46</v>
      </c>
      <c r="C307">
        <v>902</v>
      </c>
      <c r="D307" s="51">
        <v>36</v>
      </c>
      <c r="E307">
        <v>37.76</v>
      </c>
      <c r="F307" s="51">
        <v>1587.5199999999982</v>
      </c>
    </row>
    <row r="308" spans="1:6" x14ac:dyDescent="0.25">
      <c r="A308" t="s">
        <v>396</v>
      </c>
      <c r="B308" t="s">
        <v>55</v>
      </c>
      <c r="C308">
        <v>199</v>
      </c>
      <c r="D308" s="51">
        <v>74.05999755859375</v>
      </c>
      <c r="E308">
        <v>90.69</v>
      </c>
      <c r="F308" s="51">
        <v>3309.3704858398432</v>
      </c>
    </row>
    <row r="309" spans="1:6" x14ac:dyDescent="0.25">
      <c r="A309" t="s">
        <v>397</v>
      </c>
      <c r="B309" t="s">
        <v>105</v>
      </c>
      <c r="C309">
        <v>412</v>
      </c>
      <c r="D309" s="51">
        <v>11.239999771118164</v>
      </c>
      <c r="E309">
        <v>14.47</v>
      </c>
      <c r="F309" s="51">
        <v>1330.7600942993167</v>
      </c>
    </row>
    <row r="310" spans="1:6" x14ac:dyDescent="0.25">
      <c r="A310" t="s">
        <v>398</v>
      </c>
      <c r="B310" t="s">
        <v>37</v>
      </c>
      <c r="C310">
        <v>62</v>
      </c>
      <c r="D310" s="51">
        <v>97.330001831054688</v>
      </c>
      <c r="E310">
        <v>80.62</v>
      </c>
      <c r="F310" s="51">
        <v>-1036.0201135253903</v>
      </c>
    </row>
    <row r="311" spans="1:6" x14ac:dyDescent="0.25">
      <c r="A311" t="s">
        <v>399</v>
      </c>
      <c r="B311" t="s">
        <v>43</v>
      </c>
      <c r="C311">
        <v>645</v>
      </c>
      <c r="D311" s="51">
        <v>90.019996643066406</v>
      </c>
      <c r="E311">
        <v>98.71</v>
      </c>
      <c r="F311" s="51">
        <v>5605.0521652221641</v>
      </c>
    </row>
    <row r="312" spans="1:6" x14ac:dyDescent="0.25">
      <c r="A312" t="s">
        <v>400</v>
      </c>
      <c r="B312" t="s">
        <v>48</v>
      </c>
      <c r="C312">
        <v>519</v>
      </c>
      <c r="D312" s="51">
        <v>87.730003356933594</v>
      </c>
      <c r="E312">
        <v>70.89</v>
      </c>
      <c r="F312" s="51">
        <v>-8739.9617422485353</v>
      </c>
    </row>
    <row r="313" spans="1:6" x14ac:dyDescent="0.25">
      <c r="A313" t="s">
        <v>401</v>
      </c>
      <c r="B313" t="s">
        <v>55</v>
      </c>
      <c r="C313">
        <v>1049</v>
      </c>
      <c r="D313" s="51">
        <v>87.410003662109375</v>
      </c>
      <c r="E313">
        <v>96.6</v>
      </c>
      <c r="F313" s="51">
        <v>9640.3061584472598</v>
      </c>
    </row>
    <row r="314" spans="1:6" x14ac:dyDescent="0.25">
      <c r="A314" t="s">
        <v>402</v>
      </c>
      <c r="B314" t="s">
        <v>96</v>
      </c>
      <c r="C314">
        <v>996</v>
      </c>
      <c r="D314" s="51">
        <v>67.370002746582031</v>
      </c>
      <c r="E314">
        <v>71.8</v>
      </c>
      <c r="F314" s="51">
        <v>4412.2772644042943</v>
      </c>
    </row>
    <row r="315" spans="1:6" x14ac:dyDescent="0.25">
      <c r="A315" t="s">
        <v>403</v>
      </c>
      <c r="B315" t="s">
        <v>52</v>
      </c>
      <c r="C315">
        <v>154</v>
      </c>
      <c r="D315" s="51">
        <v>95.069999694824219</v>
      </c>
      <c r="E315">
        <v>110.59</v>
      </c>
      <c r="F315" s="51">
        <v>2390.0800469970709</v>
      </c>
    </row>
    <row r="316" spans="1:6" x14ac:dyDescent="0.25">
      <c r="A316" t="s">
        <v>404</v>
      </c>
      <c r="B316" t="s">
        <v>46</v>
      </c>
      <c r="C316">
        <v>247</v>
      </c>
      <c r="D316" s="51">
        <v>59.950000762939453</v>
      </c>
      <c r="E316">
        <v>52.46</v>
      </c>
      <c r="F316" s="51">
        <v>-1850.0301884460448</v>
      </c>
    </row>
    <row r="317" spans="1:6" x14ac:dyDescent="0.25">
      <c r="A317" t="s">
        <v>405</v>
      </c>
      <c r="B317" t="s">
        <v>40</v>
      </c>
      <c r="C317">
        <v>65</v>
      </c>
      <c r="D317" s="51">
        <v>31.209999084472656</v>
      </c>
      <c r="E317">
        <v>38.799999999999997</v>
      </c>
      <c r="F317" s="51">
        <v>493.35005950927717</v>
      </c>
    </row>
    <row r="318" spans="1:6" x14ac:dyDescent="0.25">
      <c r="A318" t="s">
        <v>406</v>
      </c>
      <c r="B318" t="s">
        <v>55</v>
      </c>
      <c r="C318">
        <v>856</v>
      </c>
      <c r="D318" s="51">
        <v>40.689998626708984</v>
      </c>
      <c r="E318">
        <v>39.950000000000003</v>
      </c>
      <c r="F318" s="51">
        <v>-633.43882446288819</v>
      </c>
    </row>
    <row r="319" spans="1:6" x14ac:dyDescent="0.25">
      <c r="A319" t="s">
        <v>407</v>
      </c>
      <c r="B319" t="s">
        <v>55</v>
      </c>
      <c r="C319">
        <v>966</v>
      </c>
      <c r="D319" s="51">
        <v>90.610000610351563</v>
      </c>
      <c r="E319">
        <v>103.17</v>
      </c>
      <c r="F319" s="51">
        <v>12132.959410400392</v>
      </c>
    </row>
    <row r="320" spans="1:6" x14ac:dyDescent="0.25">
      <c r="A320" t="s">
        <v>408</v>
      </c>
      <c r="B320" t="s">
        <v>90</v>
      </c>
      <c r="C320">
        <v>732</v>
      </c>
      <c r="D320" s="51">
        <v>86.419998168945313</v>
      </c>
      <c r="E320">
        <v>78.05</v>
      </c>
      <c r="F320" s="51">
        <v>-6126.8386596679711</v>
      </c>
    </row>
    <row r="321" spans="1:6" x14ac:dyDescent="0.25">
      <c r="A321" t="s">
        <v>409</v>
      </c>
      <c r="B321" t="s">
        <v>90</v>
      </c>
      <c r="C321">
        <v>620</v>
      </c>
      <c r="D321" s="51">
        <v>94.599998474121094</v>
      </c>
      <c r="E321">
        <v>72.459999999999994</v>
      </c>
      <c r="F321" s="51">
        <v>-13726.799053955083</v>
      </c>
    </row>
    <row r="322" spans="1:6" x14ac:dyDescent="0.25">
      <c r="A322" t="s">
        <v>410</v>
      </c>
      <c r="B322" t="s">
        <v>105</v>
      </c>
      <c r="C322">
        <v>615</v>
      </c>
      <c r="D322" s="51">
        <v>25.489999771118164</v>
      </c>
      <c r="E322">
        <v>26.22</v>
      </c>
      <c r="F322" s="51">
        <v>448.95014076232837</v>
      </c>
    </row>
    <row r="323" spans="1:6" x14ac:dyDescent="0.25">
      <c r="A323" t="s">
        <v>411</v>
      </c>
      <c r="B323" t="s">
        <v>40</v>
      </c>
      <c r="C323">
        <v>866</v>
      </c>
      <c r="D323" s="51">
        <v>41.090000152587891</v>
      </c>
      <c r="E323">
        <v>43.67</v>
      </c>
      <c r="F323" s="51">
        <v>2234.2798678588883</v>
      </c>
    </row>
    <row r="324" spans="1:6" x14ac:dyDescent="0.25">
      <c r="A324" t="s">
        <v>412</v>
      </c>
      <c r="B324" t="s">
        <v>37</v>
      </c>
      <c r="C324">
        <v>571</v>
      </c>
      <c r="D324" s="51">
        <v>87.849998474121094</v>
      </c>
      <c r="E324">
        <v>98.34</v>
      </c>
      <c r="F324" s="51">
        <v>5989.7908712768576</v>
      </c>
    </row>
    <row r="325" spans="1:6" x14ac:dyDescent="0.25">
      <c r="A325" t="s">
        <v>413</v>
      </c>
      <c r="B325" t="s">
        <v>40</v>
      </c>
      <c r="C325">
        <v>123</v>
      </c>
      <c r="D325" s="51">
        <v>54.529998779296875</v>
      </c>
      <c r="E325">
        <v>70.27</v>
      </c>
      <c r="F325" s="51">
        <v>1936.020150146484</v>
      </c>
    </row>
    <row r="326" spans="1:6" x14ac:dyDescent="0.25">
      <c r="A326" t="s">
        <v>414</v>
      </c>
      <c r="B326" t="s">
        <v>43</v>
      </c>
      <c r="C326">
        <v>496</v>
      </c>
      <c r="D326" s="51">
        <v>54.979999542236328</v>
      </c>
      <c r="E326">
        <v>66.45</v>
      </c>
      <c r="F326" s="51">
        <v>5689.1202270507829</v>
      </c>
    </row>
    <row r="327" spans="1:6" x14ac:dyDescent="0.25">
      <c r="A327" t="s">
        <v>415</v>
      </c>
      <c r="B327" t="s">
        <v>43</v>
      </c>
      <c r="C327">
        <v>889</v>
      </c>
      <c r="D327" s="51">
        <v>35.950000762939453</v>
      </c>
      <c r="E327">
        <v>40.450000000000003</v>
      </c>
      <c r="F327" s="51">
        <v>4000.4993217468286</v>
      </c>
    </row>
    <row r="328" spans="1:6" x14ac:dyDescent="0.25">
      <c r="A328" t="s">
        <v>416</v>
      </c>
      <c r="B328" t="s">
        <v>96</v>
      </c>
      <c r="C328">
        <v>613</v>
      </c>
      <c r="D328" s="51">
        <v>109.94000244140625</v>
      </c>
      <c r="E328">
        <v>77.099999999999994</v>
      </c>
      <c r="F328" s="51">
        <v>-20130.921496582036</v>
      </c>
    </row>
    <row r="329" spans="1:6" x14ac:dyDescent="0.25">
      <c r="A329" t="s">
        <v>417</v>
      </c>
      <c r="B329" t="s">
        <v>105</v>
      </c>
      <c r="C329">
        <v>236</v>
      </c>
      <c r="D329" s="51">
        <v>12.949999809265137</v>
      </c>
      <c r="E329">
        <v>12.64</v>
      </c>
      <c r="F329" s="51">
        <v>-73.159954986572131</v>
      </c>
    </row>
    <row r="330" spans="1:6" x14ac:dyDescent="0.25">
      <c r="A330" t="s">
        <v>418</v>
      </c>
      <c r="B330" t="s">
        <v>96</v>
      </c>
      <c r="C330">
        <v>972</v>
      </c>
      <c r="D330" s="51">
        <v>87.349998474121094</v>
      </c>
      <c r="E330">
        <v>93.83</v>
      </c>
      <c r="F330" s="51">
        <v>6298.5614831542953</v>
      </c>
    </row>
    <row r="331" spans="1:6" x14ac:dyDescent="0.25">
      <c r="A331" t="s">
        <v>419</v>
      </c>
      <c r="B331" t="s">
        <v>40</v>
      </c>
      <c r="C331">
        <v>319</v>
      </c>
      <c r="D331" s="51">
        <v>89.669998168945313</v>
      </c>
      <c r="E331">
        <v>95.59</v>
      </c>
      <c r="F331" s="51">
        <v>1888.4805841064465</v>
      </c>
    </row>
    <row r="332" spans="1:6" x14ac:dyDescent="0.25">
      <c r="A332" t="s">
        <v>420</v>
      </c>
      <c r="B332" t="s">
        <v>55</v>
      </c>
      <c r="C332">
        <v>954</v>
      </c>
      <c r="D332" s="51">
        <v>23.389999389648438</v>
      </c>
      <c r="E332">
        <v>18.149999999999999</v>
      </c>
      <c r="F332" s="51">
        <v>-4998.9594177246108</v>
      </c>
    </row>
    <row r="333" spans="1:6" x14ac:dyDescent="0.25">
      <c r="A333" t="s">
        <v>421</v>
      </c>
      <c r="B333" t="s">
        <v>105</v>
      </c>
      <c r="C333">
        <v>868</v>
      </c>
      <c r="D333" s="51">
        <v>96.80999755859375</v>
      </c>
      <c r="E333">
        <v>110.63</v>
      </c>
      <c r="F333" s="51">
        <v>11995.762119140622</v>
      </c>
    </row>
    <row r="334" spans="1:6" x14ac:dyDescent="0.25">
      <c r="A334" t="s">
        <v>422</v>
      </c>
      <c r="B334" t="s">
        <v>105</v>
      </c>
      <c r="C334">
        <v>765</v>
      </c>
      <c r="D334" s="51">
        <v>105.80999755859375</v>
      </c>
      <c r="E334">
        <v>98.15</v>
      </c>
      <c r="F334" s="51">
        <v>-5859.8981323242142</v>
      </c>
    </row>
    <row r="335" spans="1:6" x14ac:dyDescent="0.25">
      <c r="A335" t="s">
        <v>423</v>
      </c>
      <c r="B335" t="s">
        <v>48</v>
      </c>
      <c r="C335">
        <v>693</v>
      </c>
      <c r="D335" s="51">
        <v>41.669998168945313</v>
      </c>
      <c r="E335">
        <v>32.299999999999997</v>
      </c>
      <c r="F335" s="51">
        <v>-6493.4087310791037</v>
      </c>
    </row>
    <row r="336" spans="1:6" x14ac:dyDescent="0.25">
      <c r="A336" t="s">
        <v>424</v>
      </c>
      <c r="B336" t="s">
        <v>96</v>
      </c>
      <c r="C336">
        <v>942</v>
      </c>
      <c r="D336" s="51">
        <v>23.909999847412109</v>
      </c>
      <c r="E336">
        <v>19.64</v>
      </c>
      <c r="F336" s="51">
        <v>-4022.3398562622065</v>
      </c>
    </row>
    <row r="337" spans="1:6" x14ac:dyDescent="0.25">
      <c r="A337" t="s">
        <v>425</v>
      </c>
      <c r="B337" t="s">
        <v>46</v>
      </c>
      <c r="C337">
        <v>180</v>
      </c>
      <c r="D337" s="51">
        <v>58.080001831054688</v>
      </c>
      <c r="E337">
        <v>49.59</v>
      </c>
      <c r="F337" s="51">
        <v>-1528.200329589843</v>
      </c>
    </row>
    <row r="338" spans="1:6" x14ac:dyDescent="0.25">
      <c r="A338" t="s">
        <v>426</v>
      </c>
      <c r="B338" t="s">
        <v>43</v>
      </c>
      <c r="C338">
        <v>848</v>
      </c>
      <c r="D338" s="51">
        <v>18.569999694824219</v>
      </c>
      <c r="E338">
        <v>22.68</v>
      </c>
      <c r="F338" s="51">
        <v>3485.2802587890624</v>
      </c>
    </row>
    <row r="339" spans="1:6" x14ac:dyDescent="0.25">
      <c r="A339" t="s">
        <v>427</v>
      </c>
      <c r="B339" t="s">
        <v>46</v>
      </c>
      <c r="C339">
        <v>795</v>
      </c>
      <c r="D339" s="51">
        <v>56.430000305175781</v>
      </c>
      <c r="E339">
        <v>50.34</v>
      </c>
      <c r="F339" s="51">
        <v>-4841.5502426147432</v>
      </c>
    </row>
    <row r="340" spans="1:6" x14ac:dyDescent="0.25">
      <c r="A340" t="s">
        <v>428</v>
      </c>
      <c r="B340" t="s">
        <v>52</v>
      </c>
      <c r="C340">
        <v>175</v>
      </c>
      <c r="D340" s="51">
        <v>32.200000762939453</v>
      </c>
      <c r="E340">
        <v>34.26</v>
      </c>
      <c r="F340" s="51">
        <v>360.49986648559536</v>
      </c>
    </row>
    <row r="341" spans="1:6" x14ac:dyDescent="0.25">
      <c r="A341" t="s">
        <v>429</v>
      </c>
      <c r="B341" t="s">
        <v>43</v>
      </c>
      <c r="C341">
        <v>582</v>
      </c>
      <c r="D341" s="51">
        <v>73.69000244140625</v>
      </c>
      <c r="E341">
        <v>82.84</v>
      </c>
      <c r="F341" s="51">
        <v>5325.2985791015644</v>
      </c>
    </row>
    <row r="342" spans="1:6" x14ac:dyDescent="0.25">
      <c r="A342" t="s">
        <v>430</v>
      </c>
      <c r="B342" t="s">
        <v>37</v>
      </c>
      <c r="C342">
        <v>443</v>
      </c>
      <c r="D342" s="51">
        <v>58.819999694824219</v>
      </c>
      <c r="E342">
        <v>44.56</v>
      </c>
      <c r="F342" s="51">
        <v>-6317.1798648071281</v>
      </c>
    </row>
    <row r="343" spans="1:6" x14ac:dyDescent="0.25">
      <c r="A343" t="s">
        <v>431</v>
      </c>
      <c r="B343" t="s">
        <v>46</v>
      </c>
      <c r="C343">
        <v>661</v>
      </c>
      <c r="D343" s="51">
        <v>23.389999389648438</v>
      </c>
      <c r="E343">
        <v>23.55</v>
      </c>
      <c r="F343" s="51">
        <v>105.76040344238328</v>
      </c>
    </row>
    <row r="344" spans="1:6" x14ac:dyDescent="0.25">
      <c r="A344" t="s">
        <v>432</v>
      </c>
      <c r="B344" t="s">
        <v>46</v>
      </c>
      <c r="C344">
        <v>501</v>
      </c>
      <c r="D344" s="51">
        <v>93.959999084472656</v>
      </c>
      <c r="E344">
        <v>120.44</v>
      </c>
      <c r="F344" s="51">
        <v>13266.480458679198</v>
      </c>
    </row>
    <row r="345" spans="1:6" x14ac:dyDescent="0.25">
      <c r="A345" t="s">
        <v>433</v>
      </c>
      <c r="B345" t="s">
        <v>48</v>
      </c>
      <c r="C345">
        <v>733</v>
      </c>
      <c r="D345" s="51">
        <v>45.610000610351563</v>
      </c>
      <c r="E345">
        <v>32.770000000000003</v>
      </c>
      <c r="F345" s="51">
        <v>-9411.7204473876936</v>
      </c>
    </row>
    <row r="346" spans="1:6" x14ac:dyDescent="0.25">
      <c r="A346" t="s">
        <v>434</v>
      </c>
      <c r="B346" t="s">
        <v>55</v>
      </c>
      <c r="C346">
        <v>1024</v>
      </c>
      <c r="D346" s="51">
        <v>84.769996643066406</v>
      </c>
      <c r="E346">
        <v>75.33</v>
      </c>
      <c r="F346" s="51">
        <v>-9666.5565625000017</v>
      </c>
    </row>
    <row r="347" spans="1:6" x14ac:dyDescent="0.25">
      <c r="A347" t="s">
        <v>435</v>
      </c>
      <c r="B347" t="s">
        <v>55</v>
      </c>
      <c r="C347">
        <v>575</v>
      </c>
      <c r="D347" s="51">
        <v>57.009998321533203</v>
      </c>
      <c r="E347">
        <v>48.99</v>
      </c>
      <c r="F347" s="51">
        <v>-4611.4990348815909</v>
      </c>
    </row>
    <row r="348" spans="1:6" x14ac:dyDescent="0.25">
      <c r="A348" t="s">
        <v>436</v>
      </c>
      <c r="B348" t="s">
        <v>55</v>
      </c>
      <c r="C348">
        <v>1017</v>
      </c>
      <c r="D348" s="51">
        <v>79.900001525878906</v>
      </c>
      <c r="E348">
        <v>64.069999999999993</v>
      </c>
      <c r="F348" s="51">
        <v>-16099.111551818854</v>
      </c>
    </row>
    <row r="349" spans="1:6" x14ac:dyDescent="0.25">
      <c r="A349" t="s">
        <v>437</v>
      </c>
      <c r="B349" t="s">
        <v>52</v>
      </c>
      <c r="C349">
        <v>544</v>
      </c>
      <c r="D349" s="51">
        <v>100.79000091552734</v>
      </c>
      <c r="E349">
        <v>95.91</v>
      </c>
      <c r="F349" s="51">
        <v>-2654.7204980468769</v>
      </c>
    </row>
    <row r="350" spans="1:6" x14ac:dyDescent="0.25">
      <c r="A350" t="s">
        <v>438</v>
      </c>
      <c r="B350" t="s">
        <v>48</v>
      </c>
      <c r="C350">
        <v>312</v>
      </c>
      <c r="D350" s="51">
        <v>79.620002746582031</v>
      </c>
      <c r="E350">
        <v>57.09</v>
      </c>
      <c r="F350" s="51">
        <v>-7029.3608569335929</v>
      </c>
    </row>
    <row r="351" spans="1:6" x14ac:dyDescent="0.25">
      <c r="A351" t="s">
        <v>439</v>
      </c>
      <c r="B351" t="s">
        <v>90</v>
      </c>
      <c r="C351">
        <v>73</v>
      </c>
      <c r="D351" s="51">
        <v>96.739997863769531</v>
      </c>
      <c r="E351">
        <v>90.87</v>
      </c>
      <c r="F351" s="51">
        <v>-428.50984405517545</v>
      </c>
    </row>
    <row r="352" spans="1:6" x14ac:dyDescent="0.25">
      <c r="A352" t="s">
        <v>440</v>
      </c>
      <c r="B352" t="s">
        <v>48</v>
      </c>
      <c r="C352">
        <v>70</v>
      </c>
      <c r="D352" s="51">
        <v>85.720001220703125</v>
      </c>
      <c r="E352">
        <v>77.290000000000006</v>
      </c>
      <c r="F352" s="51">
        <v>-590.10008544921834</v>
      </c>
    </row>
    <row r="353" spans="1:6" x14ac:dyDescent="0.25">
      <c r="A353" t="s">
        <v>441</v>
      </c>
      <c r="B353" t="s">
        <v>96</v>
      </c>
      <c r="C353">
        <v>175</v>
      </c>
      <c r="D353" s="51">
        <v>91.180000305175781</v>
      </c>
      <c r="E353">
        <v>81.010000000000005</v>
      </c>
      <c r="F353" s="51">
        <v>-1779.7500534057608</v>
      </c>
    </row>
    <row r="354" spans="1:6" x14ac:dyDescent="0.25">
      <c r="A354" t="s">
        <v>442</v>
      </c>
      <c r="B354" t="s">
        <v>90</v>
      </c>
      <c r="C354">
        <v>281</v>
      </c>
      <c r="D354" s="51">
        <v>51.580001831054688</v>
      </c>
      <c r="E354">
        <v>66.8</v>
      </c>
      <c r="F354" s="51">
        <v>4276.8194854736321</v>
      </c>
    </row>
    <row r="355" spans="1:6" x14ac:dyDescent="0.25">
      <c r="A355" t="s">
        <v>443</v>
      </c>
      <c r="B355" t="s">
        <v>40</v>
      </c>
      <c r="C355">
        <v>940</v>
      </c>
      <c r="D355" s="51">
        <v>107.02999877929688</v>
      </c>
      <c r="E355">
        <v>137.72</v>
      </c>
      <c r="F355" s="51">
        <v>28848.601147460937</v>
      </c>
    </row>
    <row r="356" spans="1:6" x14ac:dyDescent="0.25">
      <c r="A356" t="s">
        <v>444</v>
      </c>
      <c r="B356" t="s">
        <v>96</v>
      </c>
      <c r="C356">
        <v>260</v>
      </c>
      <c r="D356" s="51">
        <v>32.119998931884766</v>
      </c>
      <c r="E356">
        <v>38.81</v>
      </c>
      <c r="F356" s="51">
        <v>1739.4002777099615</v>
      </c>
    </row>
    <row r="357" spans="1:6" x14ac:dyDescent="0.25">
      <c r="A357" t="s">
        <v>445</v>
      </c>
      <c r="B357" t="s">
        <v>55</v>
      </c>
      <c r="C357">
        <v>1037</v>
      </c>
      <c r="D357" s="51">
        <v>93.739997863769531</v>
      </c>
      <c r="E357">
        <v>88.48</v>
      </c>
      <c r="F357" s="51">
        <v>-5454.617784729</v>
      </c>
    </row>
    <row r="358" spans="1:6" x14ac:dyDescent="0.25">
      <c r="A358" t="s">
        <v>446</v>
      </c>
      <c r="B358" t="s">
        <v>37</v>
      </c>
      <c r="C358">
        <v>153</v>
      </c>
      <c r="D358" s="51">
        <v>33.849998474121094</v>
      </c>
      <c r="E358">
        <v>27.92</v>
      </c>
      <c r="F358" s="51">
        <v>-907.28976654052713</v>
      </c>
    </row>
    <row r="359" spans="1:6" x14ac:dyDescent="0.25">
      <c r="A359" t="s">
        <v>447</v>
      </c>
      <c r="B359" t="s">
        <v>90</v>
      </c>
      <c r="C359">
        <v>212</v>
      </c>
      <c r="D359" s="51">
        <v>77.330001831054688</v>
      </c>
      <c r="E359">
        <v>68.930000000000007</v>
      </c>
      <c r="F359" s="51">
        <v>-1780.8003881835923</v>
      </c>
    </row>
    <row r="360" spans="1:6" x14ac:dyDescent="0.25">
      <c r="A360" t="s">
        <v>448</v>
      </c>
      <c r="B360" t="s">
        <v>40</v>
      </c>
      <c r="C360">
        <v>432</v>
      </c>
      <c r="D360" s="51">
        <v>64.80999755859375</v>
      </c>
      <c r="E360">
        <v>58.3</v>
      </c>
      <c r="F360" s="51">
        <v>-2812.3189453125015</v>
      </c>
    </row>
    <row r="361" spans="1:6" x14ac:dyDescent="0.25">
      <c r="A361" t="s">
        <v>449</v>
      </c>
      <c r="B361" t="s">
        <v>90</v>
      </c>
      <c r="C361">
        <v>789</v>
      </c>
      <c r="D361" s="51">
        <v>10.409999847412109</v>
      </c>
      <c r="E361">
        <v>11.27</v>
      </c>
      <c r="F361" s="51">
        <v>678.54012039184533</v>
      </c>
    </row>
    <row r="362" spans="1:6" x14ac:dyDescent="0.25">
      <c r="A362" t="s">
        <v>450</v>
      </c>
      <c r="B362" t="s">
        <v>43</v>
      </c>
      <c r="C362">
        <v>400</v>
      </c>
      <c r="D362" s="51">
        <v>84.629997253417969</v>
      </c>
      <c r="E362">
        <v>106.56</v>
      </c>
      <c r="F362" s="51">
        <v>8772.0010986328125</v>
      </c>
    </row>
    <row r="363" spans="1:6" x14ac:dyDescent="0.25">
      <c r="A363" t="s">
        <v>451</v>
      </c>
      <c r="B363" t="s">
        <v>96</v>
      </c>
      <c r="C363">
        <v>172</v>
      </c>
      <c r="D363" s="51">
        <v>22.110000610351563</v>
      </c>
      <c r="E363">
        <v>28.59</v>
      </c>
      <c r="F363" s="51">
        <v>1114.5598950195313</v>
      </c>
    </row>
    <row r="364" spans="1:6" x14ac:dyDescent="0.25">
      <c r="A364" t="s">
        <v>452</v>
      </c>
      <c r="B364" t="s">
        <v>52</v>
      </c>
      <c r="C364">
        <v>686</v>
      </c>
      <c r="D364" s="51">
        <v>54.479999542236328</v>
      </c>
      <c r="E364">
        <v>60.06</v>
      </c>
      <c r="F364" s="51">
        <v>3827.8803140258806</v>
      </c>
    </row>
    <row r="365" spans="1:6" x14ac:dyDescent="0.25">
      <c r="A365" t="s">
        <v>453</v>
      </c>
      <c r="B365" t="s">
        <v>105</v>
      </c>
      <c r="C365">
        <v>342</v>
      </c>
      <c r="D365" s="51">
        <v>68.150001525878906</v>
      </c>
      <c r="E365">
        <v>55.86</v>
      </c>
      <c r="F365" s="51">
        <v>-4203.180521850586</v>
      </c>
    </row>
    <row r="366" spans="1:6" x14ac:dyDescent="0.25">
      <c r="A366" t="s">
        <v>454</v>
      </c>
      <c r="B366" t="s">
        <v>40</v>
      </c>
      <c r="C366">
        <v>747</v>
      </c>
      <c r="D366" s="51">
        <v>87.120002746582031</v>
      </c>
      <c r="E366">
        <v>95.83</v>
      </c>
      <c r="F366" s="51">
        <v>6506.3679483032211</v>
      </c>
    </row>
    <row r="367" spans="1:6" x14ac:dyDescent="0.25">
      <c r="A367" t="s">
        <v>455</v>
      </c>
      <c r="B367" t="s">
        <v>48</v>
      </c>
      <c r="C367">
        <v>357</v>
      </c>
      <c r="D367" s="51">
        <v>80.80999755859375</v>
      </c>
      <c r="E367">
        <v>95.48</v>
      </c>
      <c r="F367" s="51">
        <v>5237.1908715820327</v>
      </c>
    </row>
    <row r="368" spans="1:6" x14ac:dyDescent="0.25">
      <c r="A368" t="s">
        <v>456</v>
      </c>
      <c r="B368" t="s">
        <v>48</v>
      </c>
      <c r="C368">
        <v>368</v>
      </c>
      <c r="D368" s="51">
        <v>96.849998474121094</v>
      </c>
      <c r="E368">
        <v>125.36</v>
      </c>
      <c r="F368" s="51">
        <v>10491.680561523437</v>
      </c>
    </row>
    <row r="369" spans="1:6" x14ac:dyDescent="0.25">
      <c r="A369" t="s">
        <v>457</v>
      </c>
      <c r="B369" t="s">
        <v>96</v>
      </c>
      <c r="C369">
        <v>855</v>
      </c>
      <c r="D369" s="51">
        <v>18.920000076293945</v>
      </c>
      <c r="E369">
        <v>19.29</v>
      </c>
      <c r="F369" s="51">
        <v>316.34993476867601</v>
      </c>
    </row>
    <row r="370" spans="1:6" x14ac:dyDescent="0.25">
      <c r="A370" t="s">
        <v>458</v>
      </c>
      <c r="B370" t="s">
        <v>37</v>
      </c>
      <c r="C370">
        <v>164</v>
      </c>
      <c r="D370" s="51">
        <v>49.529998779296875</v>
      </c>
      <c r="E370">
        <v>39.61</v>
      </c>
      <c r="F370" s="51">
        <v>-1626.8797998046875</v>
      </c>
    </row>
    <row r="371" spans="1:6" x14ac:dyDescent="0.25">
      <c r="A371" t="s">
        <v>459</v>
      </c>
      <c r="B371" t="s">
        <v>55</v>
      </c>
      <c r="C371">
        <v>551</v>
      </c>
      <c r="D371" s="51">
        <v>17.879999160766602</v>
      </c>
      <c r="E371">
        <v>21.4</v>
      </c>
      <c r="F371" s="51">
        <v>1939.5204624176017</v>
      </c>
    </row>
    <row r="372" spans="1:6" x14ac:dyDescent="0.25">
      <c r="A372" t="s">
        <v>460</v>
      </c>
      <c r="B372" t="s">
        <v>90</v>
      </c>
      <c r="C372">
        <v>76</v>
      </c>
      <c r="D372" s="51">
        <v>12.609999656677246</v>
      </c>
      <c r="E372">
        <v>13.9</v>
      </c>
      <c r="F372" s="51">
        <v>98.040026092529331</v>
      </c>
    </row>
    <row r="373" spans="1:6" x14ac:dyDescent="0.25">
      <c r="A373" t="s">
        <v>461</v>
      </c>
      <c r="B373" t="s">
        <v>52</v>
      </c>
      <c r="C373">
        <v>739</v>
      </c>
      <c r="D373" s="51">
        <v>39.659999847412109</v>
      </c>
      <c r="E373">
        <v>35.6</v>
      </c>
      <c r="F373" s="51">
        <v>-3000.3398872375478</v>
      </c>
    </row>
    <row r="374" spans="1:6" x14ac:dyDescent="0.25">
      <c r="A374" t="s">
        <v>462</v>
      </c>
      <c r="B374" t="s">
        <v>48</v>
      </c>
      <c r="C374">
        <v>875</v>
      </c>
      <c r="D374" s="51">
        <v>105.06999969482422</v>
      </c>
      <c r="E374">
        <v>100.97</v>
      </c>
      <c r="F374" s="51">
        <v>-3587.4997329711923</v>
      </c>
    </row>
    <row r="375" spans="1:6" x14ac:dyDescent="0.25">
      <c r="A375" t="s">
        <v>463</v>
      </c>
      <c r="B375" t="s">
        <v>37</v>
      </c>
      <c r="C375">
        <v>791</v>
      </c>
      <c r="D375" s="51">
        <v>22.780000686645508</v>
      </c>
      <c r="E375">
        <v>21.16</v>
      </c>
      <c r="F375" s="51">
        <v>-1281.4205431365965</v>
      </c>
    </row>
    <row r="376" spans="1:6" x14ac:dyDescent="0.25">
      <c r="A376" t="s">
        <v>464</v>
      </c>
      <c r="B376" t="s">
        <v>37</v>
      </c>
      <c r="C376">
        <v>658</v>
      </c>
      <c r="D376" s="51">
        <v>47.470001220703125</v>
      </c>
      <c r="E376">
        <v>42.95</v>
      </c>
      <c r="F376" s="51">
        <v>-2974.1608032226545</v>
      </c>
    </row>
    <row r="377" spans="1:6" x14ac:dyDescent="0.25">
      <c r="A377" t="s">
        <v>465</v>
      </c>
      <c r="B377" t="s">
        <v>48</v>
      </c>
      <c r="C377">
        <v>655</v>
      </c>
      <c r="D377" s="51">
        <v>32.330001831054688</v>
      </c>
      <c r="E377">
        <v>32.93</v>
      </c>
      <c r="F377" s="51">
        <v>392.99880065917949</v>
      </c>
    </row>
    <row r="378" spans="1:6" x14ac:dyDescent="0.25">
      <c r="A378" t="s">
        <v>466</v>
      </c>
      <c r="B378" t="s">
        <v>90</v>
      </c>
      <c r="C378">
        <v>352</v>
      </c>
      <c r="D378" s="51">
        <v>11.930000305175781</v>
      </c>
      <c r="E378">
        <v>13.55</v>
      </c>
      <c r="F378" s="51">
        <v>570.23989257812525</v>
      </c>
    </row>
    <row r="379" spans="1:6" x14ac:dyDescent="0.25">
      <c r="A379" t="s">
        <v>467</v>
      </c>
      <c r="B379" t="s">
        <v>105</v>
      </c>
      <c r="C379">
        <v>360</v>
      </c>
      <c r="D379" s="51">
        <v>109.95999908447266</v>
      </c>
      <c r="E379">
        <v>78.849999999999994</v>
      </c>
      <c r="F379" s="51">
        <v>-11199.599670410158</v>
      </c>
    </row>
    <row r="380" spans="1:6" x14ac:dyDescent="0.25">
      <c r="A380" t="s">
        <v>468</v>
      </c>
      <c r="B380" t="s">
        <v>48</v>
      </c>
      <c r="C380">
        <v>212</v>
      </c>
      <c r="D380" s="51">
        <v>72.129997253417969</v>
      </c>
      <c r="E380">
        <v>88.56</v>
      </c>
      <c r="F380" s="51">
        <v>3483.1605822753909</v>
      </c>
    </row>
    <row r="381" spans="1:6" x14ac:dyDescent="0.25">
      <c r="A381" t="s">
        <v>469</v>
      </c>
      <c r="B381" t="s">
        <v>90</v>
      </c>
      <c r="C381">
        <v>511</v>
      </c>
      <c r="D381" s="51">
        <v>23.889999389648438</v>
      </c>
      <c r="E381">
        <v>21.43</v>
      </c>
      <c r="F381" s="51">
        <v>-1257.0596881103518</v>
      </c>
    </row>
    <row r="382" spans="1:6" x14ac:dyDescent="0.25">
      <c r="A382" t="s">
        <v>470</v>
      </c>
      <c r="B382" t="s">
        <v>105</v>
      </c>
      <c r="C382">
        <v>319</v>
      </c>
      <c r="D382" s="51">
        <v>53.310001373291016</v>
      </c>
      <c r="E382">
        <v>54.72</v>
      </c>
      <c r="F382" s="51">
        <v>449.78956192016562</v>
      </c>
    </row>
    <row r="383" spans="1:6" x14ac:dyDescent="0.25">
      <c r="A383" t="s">
        <v>471</v>
      </c>
      <c r="B383" t="s">
        <v>37</v>
      </c>
      <c r="C383">
        <v>794</v>
      </c>
      <c r="D383" s="51">
        <v>18.879999160766602</v>
      </c>
      <c r="E383">
        <v>19.86</v>
      </c>
      <c r="F383" s="51">
        <v>778.12066635131794</v>
      </c>
    </row>
    <row r="384" spans="1:6" x14ac:dyDescent="0.25">
      <c r="A384" t="s">
        <v>472</v>
      </c>
      <c r="B384" t="s">
        <v>43</v>
      </c>
      <c r="C384">
        <v>84</v>
      </c>
      <c r="D384" s="51">
        <v>82.290000915527344</v>
      </c>
      <c r="E384">
        <v>78.12</v>
      </c>
      <c r="F384" s="51">
        <v>-350.28007690429649</v>
      </c>
    </row>
    <row r="385" spans="1:6" x14ac:dyDescent="0.25">
      <c r="A385" t="s">
        <v>473</v>
      </c>
      <c r="B385" t="s">
        <v>105</v>
      </c>
      <c r="C385">
        <v>469</v>
      </c>
      <c r="D385" s="51">
        <v>66.279998779296875</v>
      </c>
      <c r="E385">
        <v>52.87</v>
      </c>
      <c r="F385" s="51">
        <v>-6289.2894274902355</v>
      </c>
    </row>
    <row r="386" spans="1:6" x14ac:dyDescent="0.25">
      <c r="A386" t="s">
        <v>474</v>
      </c>
      <c r="B386" t="s">
        <v>96</v>
      </c>
      <c r="C386">
        <v>747</v>
      </c>
      <c r="D386" s="51">
        <v>37.430000305175781</v>
      </c>
      <c r="E386">
        <v>40.64</v>
      </c>
      <c r="F386" s="51">
        <v>2397.8697720336918</v>
      </c>
    </row>
    <row r="387" spans="1:6" x14ac:dyDescent="0.25">
      <c r="A387" t="s">
        <v>475</v>
      </c>
      <c r="B387" t="s">
        <v>96</v>
      </c>
      <c r="C387">
        <v>878</v>
      </c>
      <c r="D387" s="51">
        <v>13.979999542236328</v>
      </c>
      <c r="E387">
        <v>10.8</v>
      </c>
      <c r="F387" s="51">
        <v>-2792.0395980834955</v>
      </c>
    </row>
    <row r="388" spans="1:6" x14ac:dyDescent="0.25">
      <c r="A388" t="s">
        <v>476</v>
      </c>
      <c r="B388" t="s">
        <v>52</v>
      </c>
      <c r="C388">
        <v>874</v>
      </c>
      <c r="D388" s="51">
        <v>98.660003662109375</v>
      </c>
      <c r="E388">
        <v>88.47</v>
      </c>
      <c r="F388" s="51">
        <v>-8906.0632006835949</v>
      </c>
    </row>
    <row r="389" spans="1:6" x14ac:dyDescent="0.25">
      <c r="A389" t="s">
        <v>477</v>
      </c>
      <c r="B389" t="s">
        <v>90</v>
      </c>
      <c r="C389">
        <v>939</v>
      </c>
      <c r="D389" s="51">
        <v>36.459999084472656</v>
      </c>
      <c r="E389">
        <v>41.41</v>
      </c>
      <c r="F389" s="51">
        <v>4648.0508596801728</v>
      </c>
    </row>
    <row r="390" spans="1:6" x14ac:dyDescent="0.25">
      <c r="A390" t="s">
        <v>478</v>
      </c>
      <c r="B390" t="s">
        <v>46</v>
      </c>
      <c r="C390">
        <v>860</v>
      </c>
      <c r="D390" s="51">
        <v>97.480003356933594</v>
      </c>
      <c r="E390">
        <v>69.75</v>
      </c>
      <c r="F390" s="51">
        <v>-23847.802886962891</v>
      </c>
    </row>
    <row r="391" spans="1:6" x14ac:dyDescent="0.25">
      <c r="A391" t="s">
        <v>479</v>
      </c>
      <c r="B391" t="s">
        <v>46</v>
      </c>
      <c r="C391">
        <v>648</v>
      </c>
      <c r="D391" s="51">
        <v>84.730003356933594</v>
      </c>
      <c r="E391">
        <v>107.54</v>
      </c>
      <c r="F391" s="51">
        <v>14780.877824707035</v>
      </c>
    </row>
    <row r="392" spans="1:6" x14ac:dyDescent="0.25">
      <c r="A392" t="s">
        <v>480</v>
      </c>
      <c r="B392" t="s">
        <v>37</v>
      </c>
      <c r="C392">
        <v>428</v>
      </c>
      <c r="D392" s="51">
        <v>66.94000244140625</v>
      </c>
      <c r="E392">
        <v>56.71</v>
      </c>
      <c r="F392" s="51">
        <v>-4378.4410449218749</v>
      </c>
    </row>
    <row r="393" spans="1:6" x14ac:dyDescent="0.25">
      <c r="A393" t="s">
        <v>481</v>
      </c>
      <c r="B393" t="s">
        <v>43</v>
      </c>
      <c r="C393">
        <v>580</v>
      </c>
      <c r="D393" s="51">
        <v>36.380001068115234</v>
      </c>
      <c r="E393">
        <v>46.42</v>
      </c>
      <c r="F393" s="51">
        <v>5823.1993804931653</v>
      </c>
    </row>
    <row r="394" spans="1:6" x14ac:dyDescent="0.25">
      <c r="A394" t="s">
        <v>482</v>
      </c>
      <c r="B394" t="s">
        <v>90</v>
      </c>
      <c r="C394">
        <v>130</v>
      </c>
      <c r="D394" s="51">
        <v>91.669998168945313</v>
      </c>
      <c r="E394">
        <v>116.27</v>
      </c>
      <c r="F394" s="51">
        <v>3198.0002380371088</v>
      </c>
    </row>
    <row r="395" spans="1:6" x14ac:dyDescent="0.25">
      <c r="A395" t="s">
        <v>483</v>
      </c>
      <c r="B395" t="s">
        <v>46</v>
      </c>
      <c r="C395">
        <v>388</v>
      </c>
      <c r="D395" s="51">
        <v>45.569999694824219</v>
      </c>
      <c r="E395">
        <v>49.29</v>
      </c>
      <c r="F395" s="51">
        <v>1443.3601184082029</v>
      </c>
    </row>
    <row r="396" spans="1:6" x14ac:dyDescent="0.25">
      <c r="A396" t="s">
        <v>484</v>
      </c>
      <c r="B396" t="s">
        <v>52</v>
      </c>
      <c r="C396">
        <v>844</v>
      </c>
      <c r="D396" s="51">
        <v>57.840000152587891</v>
      </c>
      <c r="E396">
        <v>42.11</v>
      </c>
      <c r="F396" s="51">
        <v>-13276.12012878418</v>
      </c>
    </row>
    <row r="397" spans="1:6" x14ac:dyDescent="0.25">
      <c r="A397" t="s">
        <v>485</v>
      </c>
      <c r="B397" t="s">
        <v>43</v>
      </c>
      <c r="C397">
        <v>303</v>
      </c>
      <c r="D397" s="51">
        <v>93</v>
      </c>
      <c r="E397">
        <v>68.19</v>
      </c>
      <c r="F397" s="51">
        <v>-7517.43</v>
      </c>
    </row>
    <row r="398" spans="1:6" x14ac:dyDescent="0.25">
      <c r="A398" t="s">
        <v>486</v>
      </c>
      <c r="B398" t="s">
        <v>46</v>
      </c>
      <c r="C398">
        <v>279</v>
      </c>
      <c r="D398" s="51">
        <v>103.19000244140625</v>
      </c>
      <c r="E398">
        <v>128.63999999999999</v>
      </c>
      <c r="F398" s="51">
        <v>7100.5493188476521</v>
      </c>
    </row>
    <row r="399" spans="1:6" x14ac:dyDescent="0.25">
      <c r="A399" t="s">
        <v>487</v>
      </c>
      <c r="B399" t="s">
        <v>52</v>
      </c>
      <c r="C399">
        <v>634</v>
      </c>
      <c r="D399" s="51">
        <v>35.959999084472656</v>
      </c>
      <c r="E399">
        <v>46.74</v>
      </c>
      <c r="F399" s="51">
        <v>6834.5205804443376</v>
      </c>
    </row>
    <row r="400" spans="1:6" x14ac:dyDescent="0.25">
      <c r="A400" t="s">
        <v>488</v>
      </c>
      <c r="B400" t="s">
        <v>43</v>
      </c>
      <c r="C400">
        <v>470</v>
      </c>
      <c r="D400" s="51">
        <v>67.050003051757813</v>
      </c>
      <c r="E400">
        <v>81.58</v>
      </c>
      <c r="F400" s="51">
        <v>6829.0985656738276</v>
      </c>
    </row>
    <row r="401" spans="1:6" x14ac:dyDescent="0.25">
      <c r="A401" t="s">
        <v>489</v>
      </c>
      <c r="B401" t="s">
        <v>52</v>
      </c>
      <c r="C401">
        <v>268</v>
      </c>
      <c r="D401" s="51">
        <v>58.270000457763672</v>
      </c>
      <c r="E401">
        <v>56.66</v>
      </c>
      <c r="F401" s="51">
        <v>-431.48012268066498</v>
      </c>
    </row>
    <row r="402" spans="1:6" x14ac:dyDescent="0.25">
      <c r="A402" t="s">
        <v>490</v>
      </c>
      <c r="B402" t="s">
        <v>96</v>
      </c>
      <c r="C402">
        <v>281</v>
      </c>
      <c r="D402" s="51">
        <v>40.270000457763672</v>
      </c>
      <c r="E402">
        <v>44.4</v>
      </c>
      <c r="F402" s="51">
        <v>1160.5298713684078</v>
      </c>
    </row>
    <row r="403" spans="1:6" x14ac:dyDescent="0.25">
      <c r="A403" t="s">
        <v>491</v>
      </c>
      <c r="B403" t="s">
        <v>40</v>
      </c>
      <c r="C403">
        <v>171</v>
      </c>
      <c r="D403" s="51">
        <v>20.340000152587891</v>
      </c>
      <c r="E403">
        <v>15.53</v>
      </c>
      <c r="F403" s="51">
        <v>-822.51002609252942</v>
      </c>
    </row>
    <row r="404" spans="1:6" x14ac:dyDescent="0.25">
      <c r="A404" t="s">
        <v>492</v>
      </c>
      <c r="B404" t="s">
        <v>96</v>
      </c>
      <c r="C404">
        <v>903</v>
      </c>
      <c r="D404" s="51">
        <v>15.279999732971191</v>
      </c>
      <c r="E404">
        <v>11.31</v>
      </c>
      <c r="F404" s="51">
        <v>-3584.9097588729855</v>
      </c>
    </row>
    <row r="405" spans="1:6" x14ac:dyDescent="0.25">
      <c r="A405" t="s">
        <v>493</v>
      </c>
      <c r="B405" t="s">
        <v>90</v>
      </c>
      <c r="C405">
        <v>885</v>
      </c>
      <c r="D405" s="51">
        <v>109.13999938964844</v>
      </c>
      <c r="E405">
        <v>131.84</v>
      </c>
      <c r="F405" s="51">
        <v>20089.500540161134</v>
      </c>
    </row>
    <row r="406" spans="1:6" x14ac:dyDescent="0.25">
      <c r="A406" t="s">
        <v>494</v>
      </c>
      <c r="B406" t="s">
        <v>37</v>
      </c>
      <c r="C406">
        <v>357</v>
      </c>
      <c r="D406" s="51">
        <v>36.080001831054688</v>
      </c>
      <c r="E406">
        <v>30.26</v>
      </c>
      <c r="F406" s="51">
        <v>-2077.7406536865228</v>
      </c>
    </row>
    <row r="407" spans="1:6" x14ac:dyDescent="0.25">
      <c r="A407" t="s">
        <v>495</v>
      </c>
      <c r="B407" t="s">
        <v>40</v>
      </c>
      <c r="C407">
        <v>1033</v>
      </c>
      <c r="D407" s="51">
        <v>88.180000305175781</v>
      </c>
      <c r="E407">
        <v>76.05</v>
      </c>
      <c r="F407" s="51">
        <v>-12530.290315246584</v>
      </c>
    </row>
    <row r="408" spans="1:6" x14ac:dyDescent="0.25">
      <c r="A408" t="s">
        <v>496</v>
      </c>
      <c r="B408" t="s">
        <v>90</v>
      </c>
      <c r="C408">
        <v>992</v>
      </c>
      <c r="D408" s="51">
        <v>48.229999542236328</v>
      </c>
      <c r="E408">
        <v>42.29</v>
      </c>
      <c r="F408" s="51">
        <v>-5892.4795458984381</v>
      </c>
    </row>
    <row r="409" spans="1:6" x14ac:dyDescent="0.25">
      <c r="A409" t="s">
        <v>497</v>
      </c>
      <c r="B409" t="s">
        <v>40</v>
      </c>
      <c r="C409">
        <v>815</v>
      </c>
      <c r="D409" s="51">
        <v>47.560001373291016</v>
      </c>
      <c r="E409">
        <v>38.299999999999997</v>
      </c>
      <c r="F409" s="51">
        <v>-7546.9011192321805</v>
      </c>
    </row>
    <row r="410" spans="1:6" x14ac:dyDescent="0.25">
      <c r="A410" t="s">
        <v>498</v>
      </c>
      <c r="B410" t="s">
        <v>40</v>
      </c>
      <c r="C410">
        <v>982</v>
      </c>
      <c r="D410" s="51">
        <v>48.849998474121094</v>
      </c>
      <c r="E410">
        <v>58.96</v>
      </c>
      <c r="F410" s="51">
        <v>9928.0214984130871</v>
      </c>
    </row>
    <row r="411" spans="1:6" x14ac:dyDescent="0.25">
      <c r="A411" t="s">
        <v>499</v>
      </c>
      <c r="B411" t="s">
        <v>55</v>
      </c>
      <c r="C411">
        <v>507</v>
      </c>
      <c r="D411" s="51">
        <v>53.930000305175781</v>
      </c>
      <c r="E411">
        <v>39.729999999999997</v>
      </c>
      <c r="F411" s="51">
        <v>-7199.4001547241223</v>
      </c>
    </row>
    <row r="412" spans="1:6" x14ac:dyDescent="0.25">
      <c r="A412" t="s">
        <v>500</v>
      </c>
      <c r="B412" t="s">
        <v>43</v>
      </c>
      <c r="C412">
        <v>833</v>
      </c>
      <c r="D412" s="51">
        <v>36.610000610351563</v>
      </c>
      <c r="E412">
        <v>34.89</v>
      </c>
      <c r="F412" s="51">
        <v>-1432.760508422851</v>
      </c>
    </row>
    <row r="413" spans="1:6" x14ac:dyDescent="0.25">
      <c r="A413" t="s">
        <v>501</v>
      </c>
      <c r="B413" t="s">
        <v>90</v>
      </c>
      <c r="C413">
        <v>967</v>
      </c>
      <c r="D413" s="51">
        <v>100.5</v>
      </c>
      <c r="E413">
        <v>108.42</v>
      </c>
      <c r="F413" s="51">
        <v>7658.6400000000012</v>
      </c>
    </row>
    <row r="414" spans="1:6" x14ac:dyDescent="0.25">
      <c r="A414" t="s">
        <v>502</v>
      </c>
      <c r="B414" t="s">
        <v>37</v>
      </c>
      <c r="C414">
        <v>877</v>
      </c>
      <c r="D414" s="51">
        <v>61.770000457763672</v>
      </c>
      <c r="E414">
        <v>43.87</v>
      </c>
      <c r="F414" s="51">
        <v>-15698.300401458742</v>
      </c>
    </row>
    <row r="415" spans="1:6" x14ac:dyDescent="0.25">
      <c r="A415" t="s">
        <v>503</v>
      </c>
      <c r="B415" t="s">
        <v>52</v>
      </c>
      <c r="C415">
        <v>128</v>
      </c>
      <c r="D415" s="51">
        <v>57.040000915527344</v>
      </c>
      <c r="E415">
        <v>49.96</v>
      </c>
      <c r="F415" s="51">
        <v>-906.24011718749989</v>
      </c>
    </row>
    <row r="416" spans="1:6" x14ac:dyDescent="0.25">
      <c r="A416" t="s">
        <v>504</v>
      </c>
      <c r="B416" t="s">
        <v>40</v>
      </c>
      <c r="C416">
        <v>774</v>
      </c>
      <c r="D416" s="51">
        <v>76.120002746582031</v>
      </c>
      <c r="E416">
        <v>79.64</v>
      </c>
      <c r="F416" s="51">
        <v>2724.4778741455084</v>
      </c>
    </row>
    <row r="417" spans="1:6" x14ac:dyDescent="0.25">
      <c r="A417" t="s">
        <v>505</v>
      </c>
      <c r="B417" t="s">
        <v>48</v>
      </c>
      <c r="C417">
        <v>502</v>
      </c>
      <c r="D417" s="51">
        <v>19.889999389648438</v>
      </c>
      <c r="E417">
        <v>21.75</v>
      </c>
      <c r="F417" s="51">
        <v>933.72030639648438</v>
      </c>
    </row>
    <row r="418" spans="1:6" x14ac:dyDescent="0.25">
      <c r="A418" t="s">
        <v>506</v>
      </c>
      <c r="B418" t="s">
        <v>43</v>
      </c>
      <c r="C418">
        <v>1014</v>
      </c>
      <c r="D418" s="51">
        <v>83.040000915527344</v>
      </c>
      <c r="E418">
        <v>83.08</v>
      </c>
      <c r="F418" s="51">
        <v>40.559071655271708</v>
      </c>
    </row>
    <row r="419" spans="1:6" x14ac:dyDescent="0.25">
      <c r="A419" t="s">
        <v>507</v>
      </c>
      <c r="B419" t="s">
        <v>55</v>
      </c>
      <c r="C419">
        <v>679</v>
      </c>
      <c r="D419" s="51">
        <v>61.950000762939453</v>
      </c>
      <c r="E419">
        <v>44.6</v>
      </c>
      <c r="F419" s="51">
        <v>-11780.650518035887</v>
      </c>
    </row>
    <row r="420" spans="1:6" x14ac:dyDescent="0.25">
      <c r="A420" t="s">
        <v>508</v>
      </c>
      <c r="B420" t="s">
        <v>55</v>
      </c>
      <c r="C420">
        <v>414</v>
      </c>
      <c r="D420" s="51">
        <v>87.459999084472656</v>
      </c>
      <c r="E420">
        <v>68.58</v>
      </c>
      <c r="F420" s="51">
        <v>-7816.3196209716807</v>
      </c>
    </row>
    <row r="421" spans="1:6" x14ac:dyDescent="0.25">
      <c r="A421" t="s">
        <v>509</v>
      </c>
      <c r="B421" t="s">
        <v>96</v>
      </c>
      <c r="C421">
        <v>829</v>
      </c>
      <c r="D421" s="51">
        <v>82.699996948242188</v>
      </c>
      <c r="E421">
        <v>104.57</v>
      </c>
      <c r="F421" s="51">
        <v>18130.232529907222</v>
      </c>
    </row>
    <row r="422" spans="1:6" x14ac:dyDescent="0.25">
      <c r="A422" t="s">
        <v>510</v>
      </c>
      <c r="B422" t="s">
        <v>90</v>
      </c>
      <c r="C422">
        <v>618</v>
      </c>
      <c r="D422" s="51">
        <v>45.880001068115234</v>
      </c>
      <c r="E422">
        <v>40.39</v>
      </c>
      <c r="F422" s="51">
        <v>-3392.8206600952144</v>
      </c>
    </row>
    <row r="423" spans="1:6" x14ac:dyDescent="0.25">
      <c r="A423" t="s">
        <v>511</v>
      </c>
      <c r="B423" t="s">
        <v>46</v>
      </c>
      <c r="C423">
        <v>197</v>
      </c>
      <c r="D423" s="51">
        <v>58.139999389648438</v>
      </c>
      <c r="E423">
        <v>61.55</v>
      </c>
      <c r="F423" s="51">
        <v>671.77012023925727</v>
      </c>
    </row>
    <row r="424" spans="1:6" x14ac:dyDescent="0.25">
      <c r="A424" t="s">
        <v>512</v>
      </c>
      <c r="B424" t="s">
        <v>40</v>
      </c>
      <c r="C424">
        <v>599</v>
      </c>
      <c r="D424" s="51">
        <v>16.340000152587891</v>
      </c>
      <c r="E424">
        <v>18.690000000000001</v>
      </c>
      <c r="F424" s="51">
        <v>1407.6499085998544</v>
      </c>
    </row>
    <row r="425" spans="1:6" x14ac:dyDescent="0.25">
      <c r="A425" t="s">
        <v>513</v>
      </c>
      <c r="B425" t="s">
        <v>105</v>
      </c>
      <c r="C425">
        <v>609</v>
      </c>
      <c r="D425" s="51">
        <v>90.870002746582031</v>
      </c>
      <c r="E425">
        <v>86.88</v>
      </c>
      <c r="F425" s="51">
        <v>-2429.9116726684597</v>
      </c>
    </row>
    <row r="426" spans="1:6" x14ac:dyDescent="0.25">
      <c r="A426" t="s">
        <v>514</v>
      </c>
      <c r="B426" t="s">
        <v>43</v>
      </c>
      <c r="C426">
        <v>159</v>
      </c>
      <c r="D426" s="51">
        <v>108.47000122070313</v>
      </c>
      <c r="E426">
        <v>119.51</v>
      </c>
      <c r="F426" s="51">
        <v>1755.359805908204</v>
      </c>
    </row>
    <row r="427" spans="1:6" x14ac:dyDescent="0.25">
      <c r="A427" t="s">
        <v>515</v>
      </c>
      <c r="B427" t="s">
        <v>48</v>
      </c>
      <c r="C427">
        <v>967</v>
      </c>
      <c r="D427" s="51">
        <v>60.040000915527344</v>
      </c>
      <c r="E427">
        <v>61.96</v>
      </c>
      <c r="F427" s="51">
        <v>1856.6391146850594</v>
      </c>
    </row>
    <row r="428" spans="1:6" x14ac:dyDescent="0.25">
      <c r="A428" t="s">
        <v>516</v>
      </c>
      <c r="B428" t="s">
        <v>55</v>
      </c>
      <c r="C428">
        <v>428</v>
      </c>
      <c r="D428" s="51">
        <v>33.459999084472656</v>
      </c>
      <c r="E428">
        <v>28.53</v>
      </c>
      <c r="F428" s="51">
        <v>-2110.0396081542963</v>
      </c>
    </row>
    <row r="429" spans="1:6" x14ac:dyDescent="0.25">
      <c r="A429" t="s">
        <v>517</v>
      </c>
      <c r="B429" t="s">
        <v>43</v>
      </c>
      <c r="C429">
        <v>753</v>
      </c>
      <c r="D429" s="51">
        <v>71.370002746582031</v>
      </c>
      <c r="E429">
        <v>63.06</v>
      </c>
      <c r="F429" s="51">
        <v>-6257.4320681762674</v>
      </c>
    </row>
    <row r="430" spans="1:6" x14ac:dyDescent="0.25">
      <c r="A430" t="s">
        <v>518</v>
      </c>
      <c r="B430" t="s">
        <v>55</v>
      </c>
      <c r="C430">
        <v>362</v>
      </c>
      <c r="D430" s="51">
        <v>54.029998779296875</v>
      </c>
      <c r="E430">
        <v>41.46</v>
      </c>
      <c r="F430" s="51">
        <v>-4550.3395581054683</v>
      </c>
    </row>
    <row r="431" spans="1:6" x14ac:dyDescent="0.25">
      <c r="A431" t="s">
        <v>519</v>
      </c>
      <c r="B431" t="s">
        <v>55</v>
      </c>
      <c r="C431">
        <v>524</v>
      </c>
      <c r="D431" s="51">
        <v>107.12000274658203</v>
      </c>
      <c r="E431">
        <v>121.02</v>
      </c>
      <c r="F431" s="51">
        <v>7283.5985607910134</v>
      </c>
    </row>
    <row r="432" spans="1:6" x14ac:dyDescent="0.25">
      <c r="A432" t="s">
        <v>520</v>
      </c>
      <c r="B432" t="s">
        <v>52</v>
      </c>
      <c r="C432">
        <v>248</v>
      </c>
      <c r="D432" s="51">
        <v>34.509998321533203</v>
      </c>
      <c r="E432">
        <v>41.01</v>
      </c>
      <c r="F432" s="51">
        <v>1612.0004162597652</v>
      </c>
    </row>
    <row r="433" spans="1:6" x14ac:dyDescent="0.25">
      <c r="A433" t="s">
        <v>521</v>
      </c>
      <c r="B433" t="s">
        <v>55</v>
      </c>
      <c r="C433">
        <v>419</v>
      </c>
      <c r="D433" s="51">
        <v>76.139999389648438</v>
      </c>
      <c r="E433">
        <v>54.18</v>
      </c>
      <c r="F433" s="51">
        <v>-9201.2397442626952</v>
      </c>
    </row>
    <row r="434" spans="1:6" x14ac:dyDescent="0.25">
      <c r="A434" t="s">
        <v>522</v>
      </c>
      <c r="B434" t="s">
        <v>96</v>
      </c>
      <c r="C434">
        <v>198</v>
      </c>
      <c r="D434" s="51">
        <v>90.760002136230469</v>
      </c>
      <c r="E434">
        <v>84.36</v>
      </c>
      <c r="F434" s="51">
        <v>-1267.2004229736328</v>
      </c>
    </row>
    <row r="435" spans="1:6" x14ac:dyDescent="0.25">
      <c r="A435" t="s">
        <v>523</v>
      </c>
      <c r="B435" t="s">
        <v>55</v>
      </c>
      <c r="C435">
        <v>653</v>
      </c>
      <c r="D435" s="51">
        <v>63.819999694824219</v>
      </c>
      <c r="E435">
        <v>50.53</v>
      </c>
      <c r="F435" s="51">
        <v>-8678.3698007202147</v>
      </c>
    </row>
    <row r="436" spans="1:6" x14ac:dyDescent="0.25">
      <c r="A436" t="s">
        <v>524</v>
      </c>
      <c r="B436" t="s">
        <v>105</v>
      </c>
      <c r="C436">
        <v>656</v>
      </c>
      <c r="D436" s="51">
        <v>40.220001220703125</v>
      </c>
      <c r="E436">
        <v>47.36</v>
      </c>
      <c r="F436" s="51">
        <v>4683.8391992187499</v>
      </c>
    </row>
    <row r="437" spans="1:6" x14ac:dyDescent="0.25">
      <c r="A437" t="s">
        <v>525</v>
      </c>
      <c r="B437" t="s">
        <v>46</v>
      </c>
      <c r="C437">
        <v>1020</v>
      </c>
      <c r="D437" s="51">
        <v>82.129997253417969</v>
      </c>
      <c r="E437">
        <v>70.22</v>
      </c>
      <c r="F437" s="51">
        <v>-12148.197198486328</v>
      </c>
    </row>
    <row r="438" spans="1:6" x14ac:dyDescent="0.25">
      <c r="A438" t="s">
        <v>526</v>
      </c>
      <c r="B438" t="s">
        <v>96</v>
      </c>
      <c r="C438">
        <v>891</v>
      </c>
      <c r="D438" s="51">
        <v>51.860000610351563</v>
      </c>
      <c r="E438">
        <v>51.37</v>
      </c>
      <c r="F438" s="51">
        <v>-436.59054382324445</v>
      </c>
    </row>
    <row r="439" spans="1:6" x14ac:dyDescent="0.25">
      <c r="A439" t="s">
        <v>527</v>
      </c>
      <c r="B439" t="s">
        <v>40</v>
      </c>
      <c r="C439">
        <v>390</v>
      </c>
      <c r="D439" s="51">
        <v>19.600000381469727</v>
      </c>
      <c r="E439">
        <v>15.83</v>
      </c>
      <c r="F439" s="51">
        <v>-1470.3001487731933</v>
      </c>
    </row>
    <row r="440" spans="1:6" x14ac:dyDescent="0.25">
      <c r="A440" t="s">
        <v>528</v>
      </c>
      <c r="B440" t="s">
        <v>40</v>
      </c>
      <c r="C440">
        <v>501</v>
      </c>
      <c r="D440" s="51">
        <v>96.269996643066406</v>
      </c>
      <c r="E440">
        <v>115.35</v>
      </c>
      <c r="F440" s="51">
        <v>9559.0816818237272</v>
      </c>
    </row>
    <row r="441" spans="1:6" x14ac:dyDescent="0.25">
      <c r="A441" t="s">
        <v>529</v>
      </c>
      <c r="B441" t="s">
        <v>37</v>
      </c>
      <c r="C441">
        <v>213</v>
      </c>
      <c r="D441" s="51">
        <v>91.30999755859375</v>
      </c>
      <c r="E441">
        <v>116.76</v>
      </c>
      <c r="F441" s="51">
        <v>5420.8505200195323</v>
      </c>
    </row>
    <row r="442" spans="1:6" x14ac:dyDescent="0.25">
      <c r="A442" t="s">
        <v>530</v>
      </c>
      <c r="B442" t="s">
        <v>90</v>
      </c>
      <c r="C442">
        <v>912</v>
      </c>
      <c r="D442" s="51">
        <v>95.540000915527344</v>
      </c>
      <c r="E442">
        <v>105.34</v>
      </c>
      <c r="F442" s="51">
        <v>8937.5991650390661</v>
      </c>
    </row>
    <row r="443" spans="1:6" x14ac:dyDescent="0.25">
      <c r="A443" t="s">
        <v>531</v>
      </c>
      <c r="B443" t="s">
        <v>40</v>
      </c>
      <c r="C443">
        <v>1018</v>
      </c>
      <c r="D443" s="51">
        <v>88.910003662109375</v>
      </c>
      <c r="E443">
        <v>81.61</v>
      </c>
      <c r="F443" s="51">
        <v>-7431.4037280273442</v>
      </c>
    </row>
    <row r="444" spans="1:6" x14ac:dyDescent="0.25">
      <c r="A444" t="s">
        <v>532</v>
      </c>
      <c r="B444" t="s">
        <v>46</v>
      </c>
      <c r="C444">
        <v>879</v>
      </c>
      <c r="D444" s="51">
        <v>73.370002746582031</v>
      </c>
      <c r="E444">
        <v>86.38</v>
      </c>
      <c r="F444" s="51">
        <v>11435.787585754391</v>
      </c>
    </row>
    <row r="445" spans="1:6" x14ac:dyDescent="0.25">
      <c r="A445" t="s">
        <v>533</v>
      </c>
      <c r="B445" t="s">
        <v>46</v>
      </c>
      <c r="C445">
        <v>911</v>
      </c>
      <c r="D445" s="51">
        <v>30.620000839233398</v>
      </c>
      <c r="E445">
        <v>27.48</v>
      </c>
      <c r="F445" s="51">
        <v>-2860.5407645416258</v>
      </c>
    </row>
    <row r="446" spans="1:6" x14ac:dyDescent="0.25">
      <c r="A446" t="s">
        <v>534</v>
      </c>
      <c r="B446" t="s">
        <v>43</v>
      </c>
      <c r="C446">
        <v>985</v>
      </c>
      <c r="D446" s="51">
        <v>104.98999786376953</v>
      </c>
      <c r="E446">
        <v>101.65</v>
      </c>
      <c r="F446" s="51">
        <v>-3289.8978958129828</v>
      </c>
    </row>
    <row r="447" spans="1:6" x14ac:dyDescent="0.25">
      <c r="A447" t="s">
        <v>535</v>
      </c>
      <c r="B447" t="s">
        <v>37</v>
      </c>
      <c r="C447">
        <v>75</v>
      </c>
      <c r="D447" s="51">
        <v>11.210000038146973</v>
      </c>
      <c r="E447">
        <v>11.34</v>
      </c>
      <c r="F447" s="51">
        <v>9.7499971389770401</v>
      </c>
    </row>
    <row r="448" spans="1:6" x14ac:dyDescent="0.25">
      <c r="A448" t="s">
        <v>536</v>
      </c>
      <c r="B448" t="s">
        <v>46</v>
      </c>
      <c r="C448">
        <v>140</v>
      </c>
      <c r="D448" s="51">
        <v>67.220001220703125</v>
      </c>
      <c r="E448">
        <v>80.16</v>
      </c>
      <c r="F448" s="51">
        <v>1811.5998291015621</v>
      </c>
    </row>
    <row r="449" spans="1:6" x14ac:dyDescent="0.25">
      <c r="A449" t="s">
        <v>537</v>
      </c>
      <c r="B449" t="s">
        <v>55</v>
      </c>
      <c r="C449">
        <v>272</v>
      </c>
      <c r="D449" s="51">
        <v>52.020000457763672</v>
      </c>
      <c r="E449">
        <v>61.19</v>
      </c>
      <c r="F449" s="51">
        <v>2494.2398754882806</v>
      </c>
    </row>
    <row r="450" spans="1:6" x14ac:dyDescent="0.25">
      <c r="A450" t="s">
        <v>538</v>
      </c>
      <c r="B450" t="s">
        <v>52</v>
      </c>
      <c r="C450">
        <v>82</v>
      </c>
      <c r="D450" s="51">
        <v>88.419998168945313</v>
      </c>
      <c r="E450">
        <v>91.92</v>
      </c>
      <c r="F450" s="51">
        <v>287.00015014648454</v>
      </c>
    </row>
    <row r="451" spans="1:6" x14ac:dyDescent="0.25">
      <c r="A451" t="s">
        <v>539</v>
      </c>
      <c r="B451" t="s">
        <v>90</v>
      </c>
      <c r="C451">
        <v>343</v>
      </c>
      <c r="D451" s="51">
        <v>50.939998626708984</v>
      </c>
      <c r="E451">
        <v>57.52</v>
      </c>
      <c r="F451" s="51">
        <v>2256.9404710388194</v>
      </c>
    </row>
    <row r="452" spans="1:6" x14ac:dyDescent="0.25">
      <c r="A452" t="s">
        <v>540</v>
      </c>
      <c r="B452" t="s">
        <v>40</v>
      </c>
      <c r="C452">
        <v>880</v>
      </c>
      <c r="D452" s="51">
        <v>98.529998779296875</v>
      </c>
      <c r="E452">
        <v>85.8</v>
      </c>
      <c r="F452" s="51">
        <v>-11202.398925781252</v>
      </c>
    </row>
    <row r="453" spans="1:6" x14ac:dyDescent="0.25">
      <c r="A453" t="s">
        <v>541</v>
      </c>
      <c r="B453" t="s">
        <v>37</v>
      </c>
      <c r="C453">
        <v>707</v>
      </c>
      <c r="D453" s="51">
        <v>32.450000762939453</v>
      </c>
      <c r="E453">
        <v>23.68</v>
      </c>
      <c r="F453" s="51">
        <v>-6200.3905393981931</v>
      </c>
    </row>
    <row r="454" spans="1:6" x14ac:dyDescent="0.25">
      <c r="A454" t="s">
        <v>542</v>
      </c>
      <c r="B454" t="s">
        <v>55</v>
      </c>
      <c r="C454">
        <v>426</v>
      </c>
      <c r="D454" s="51">
        <v>79.040000915527344</v>
      </c>
      <c r="E454">
        <v>56.85</v>
      </c>
      <c r="F454" s="51">
        <v>-9452.9403900146481</v>
      </c>
    </row>
    <row r="455" spans="1:6" x14ac:dyDescent="0.25">
      <c r="A455" t="s">
        <v>543</v>
      </c>
      <c r="B455" t="s">
        <v>90</v>
      </c>
      <c r="C455">
        <v>860</v>
      </c>
      <c r="D455" s="51">
        <v>97.569999694824219</v>
      </c>
      <c r="E455">
        <v>83.91</v>
      </c>
      <c r="F455" s="51">
        <v>-11747.599737548831</v>
      </c>
    </row>
    <row r="456" spans="1:6" x14ac:dyDescent="0.25">
      <c r="A456" t="s">
        <v>544</v>
      </c>
      <c r="B456" t="s">
        <v>37</v>
      </c>
      <c r="C456">
        <v>946</v>
      </c>
      <c r="D456" s="51">
        <v>13.010000228881836</v>
      </c>
      <c r="E456">
        <v>15.48</v>
      </c>
      <c r="F456" s="51">
        <v>2336.6197834777836</v>
      </c>
    </row>
    <row r="457" spans="1:6" x14ac:dyDescent="0.25">
      <c r="A457" t="s">
        <v>545</v>
      </c>
      <c r="B457" t="s">
        <v>40</v>
      </c>
      <c r="C457">
        <v>877</v>
      </c>
      <c r="D457" s="51">
        <v>73.879997253417969</v>
      </c>
      <c r="E457">
        <v>53.41</v>
      </c>
      <c r="F457" s="51">
        <v>-17952.187591247563</v>
      </c>
    </row>
    <row r="458" spans="1:6" x14ac:dyDescent="0.25">
      <c r="A458" t="s">
        <v>546</v>
      </c>
      <c r="B458" t="s">
        <v>37</v>
      </c>
      <c r="C458">
        <v>490</v>
      </c>
      <c r="D458" s="51">
        <v>35.049999237060547</v>
      </c>
      <c r="E458">
        <v>26.62</v>
      </c>
      <c r="F458" s="51">
        <v>-4130.6996261596678</v>
      </c>
    </row>
    <row r="459" spans="1:6" x14ac:dyDescent="0.25">
      <c r="A459" t="s">
        <v>547</v>
      </c>
      <c r="B459" t="s">
        <v>52</v>
      </c>
      <c r="C459">
        <v>910</v>
      </c>
      <c r="D459" s="51">
        <v>65.529998779296875</v>
      </c>
      <c r="E459">
        <v>74.98</v>
      </c>
      <c r="F459" s="51">
        <v>8599.5011108398467</v>
      </c>
    </row>
    <row r="460" spans="1:6" x14ac:dyDescent="0.25">
      <c r="A460" t="s">
        <v>548</v>
      </c>
      <c r="B460" t="s">
        <v>37</v>
      </c>
      <c r="C460">
        <v>438</v>
      </c>
      <c r="D460" s="51">
        <v>81.339996337890625</v>
      </c>
      <c r="E460">
        <v>71.319999999999993</v>
      </c>
      <c r="F460" s="51">
        <v>-4388.7583959960966</v>
      </c>
    </row>
    <row r="461" spans="1:6" x14ac:dyDescent="0.25">
      <c r="A461" t="s">
        <v>549</v>
      </c>
      <c r="B461" t="s">
        <v>40</v>
      </c>
      <c r="C461">
        <v>691</v>
      </c>
      <c r="D461" s="51">
        <v>103.25</v>
      </c>
      <c r="E461">
        <v>131.19</v>
      </c>
      <c r="F461" s="51">
        <v>19306.539999999997</v>
      </c>
    </row>
    <row r="462" spans="1:6" x14ac:dyDescent="0.25">
      <c r="A462" t="s">
        <v>550</v>
      </c>
      <c r="B462" t="s">
        <v>96</v>
      </c>
      <c r="C462">
        <v>996</v>
      </c>
      <c r="D462" s="51">
        <v>39.639999389648438</v>
      </c>
      <c r="E462">
        <v>34.19</v>
      </c>
      <c r="F462" s="51">
        <v>-5428.1993920898458</v>
      </c>
    </row>
    <row r="463" spans="1:6" x14ac:dyDescent="0.25">
      <c r="A463" t="s">
        <v>551</v>
      </c>
      <c r="B463" t="s">
        <v>96</v>
      </c>
      <c r="C463">
        <v>1028</v>
      </c>
      <c r="D463" s="51">
        <v>94.300003051757813</v>
      </c>
      <c r="E463">
        <v>119.9</v>
      </c>
      <c r="F463" s="51">
        <v>26316.796862792973</v>
      </c>
    </row>
    <row r="464" spans="1:6" x14ac:dyDescent="0.25">
      <c r="A464" t="s">
        <v>552</v>
      </c>
      <c r="B464" t="s">
        <v>46</v>
      </c>
      <c r="C464">
        <v>701</v>
      </c>
      <c r="D464" s="51">
        <v>99.25</v>
      </c>
      <c r="E464">
        <v>119.99</v>
      </c>
      <c r="F464" s="51">
        <v>14538.739999999996</v>
      </c>
    </row>
    <row r="465" spans="1:6" x14ac:dyDescent="0.25">
      <c r="A465" t="s">
        <v>553</v>
      </c>
      <c r="B465" t="s">
        <v>55</v>
      </c>
      <c r="C465">
        <v>309</v>
      </c>
      <c r="D465" s="51">
        <v>72.519996643066406</v>
      </c>
      <c r="E465">
        <v>60.74</v>
      </c>
      <c r="F465" s="51">
        <v>-3640.0189627075188</v>
      </c>
    </row>
    <row r="466" spans="1:6" x14ac:dyDescent="0.25">
      <c r="A466" t="s">
        <v>554</v>
      </c>
      <c r="B466" t="s">
        <v>37</v>
      </c>
      <c r="C466">
        <v>917</v>
      </c>
      <c r="D466" s="51">
        <v>101.02999877929688</v>
      </c>
      <c r="E466">
        <v>88.98</v>
      </c>
      <c r="F466" s="51">
        <v>-11049.848880615231</v>
      </c>
    </row>
    <row r="467" spans="1:6" x14ac:dyDescent="0.25">
      <c r="A467" t="s">
        <v>555</v>
      </c>
      <c r="B467" t="s">
        <v>46</v>
      </c>
      <c r="C467">
        <v>999</v>
      </c>
      <c r="D467" s="51">
        <v>48.319999694824219</v>
      </c>
      <c r="E467">
        <v>61.94</v>
      </c>
      <c r="F467" s="51">
        <v>13606.380304870603</v>
      </c>
    </row>
    <row r="468" spans="1:6" x14ac:dyDescent="0.25">
      <c r="A468" t="s">
        <v>556</v>
      </c>
      <c r="B468" t="s">
        <v>46</v>
      </c>
      <c r="C468">
        <v>335</v>
      </c>
      <c r="D468" s="51">
        <v>87.419998168945313</v>
      </c>
      <c r="E468">
        <v>106.12</v>
      </c>
      <c r="F468" s="51">
        <v>6264.5006134033219</v>
      </c>
    </row>
    <row r="469" spans="1:6" x14ac:dyDescent="0.25">
      <c r="A469" t="s">
        <v>557</v>
      </c>
      <c r="B469" t="s">
        <v>55</v>
      </c>
      <c r="C469">
        <v>142</v>
      </c>
      <c r="D469" s="51">
        <v>58.650001525878906</v>
      </c>
      <c r="E469">
        <v>60.92</v>
      </c>
      <c r="F469" s="51">
        <v>322.33978332519553</v>
      </c>
    </row>
    <row r="470" spans="1:6" x14ac:dyDescent="0.25">
      <c r="A470" t="s">
        <v>558</v>
      </c>
      <c r="B470" t="s">
        <v>46</v>
      </c>
      <c r="C470">
        <v>475</v>
      </c>
      <c r="D470" s="51">
        <v>52.409999847412109</v>
      </c>
      <c r="E470">
        <v>42.8</v>
      </c>
      <c r="F470" s="51">
        <v>-4564.7499275207529</v>
      </c>
    </row>
    <row r="471" spans="1:6" x14ac:dyDescent="0.25">
      <c r="A471" t="s">
        <v>559</v>
      </c>
      <c r="B471" t="s">
        <v>46</v>
      </c>
      <c r="C471">
        <v>859</v>
      </c>
      <c r="D471" s="51">
        <v>17.040000915527344</v>
      </c>
      <c r="E471">
        <v>13.04</v>
      </c>
      <c r="F471" s="51">
        <v>-3436.0007864379891</v>
      </c>
    </row>
    <row r="472" spans="1:6" x14ac:dyDescent="0.25">
      <c r="A472" t="s">
        <v>560</v>
      </c>
      <c r="B472" t="s">
        <v>46</v>
      </c>
      <c r="C472">
        <v>186</v>
      </c>
      <c r="D472" s="51">
        <v>91.55999755859375</v>
      </c>
      <c r="E472">
        <v>116.17</v>
      </c>
      <c r="F472" s="51">
        <v>4577.4604541015624</v>
      </c>
    </row>
    <row r="473" spans="1:6" x14ac:dyDescent="0.25">
      <c r="A473" t="s">
        <v>561</v>
      </c>
      <c r="B473" t="s">
        <v>105</v>
      </c>
      <c r="C473">
        <v>850</v>
      </c>
      <c r="D473" s="51">
        <v>63.569999694824219</v>
      </c>
      <c r="E473">
        <v>78.760000000000005</v>
      </c>
      <c r="F473" s="51">
        <v>12911.500259399418</v>
      </c>
    </row>
    <row r="474" spans="1:6" x14ac:dyDescent="0.25">
      <c r="A474" t="s">
        <v>562</v>
      </c>
      <c r="B474" t="s">
        <v>105</v>
      </c>
      <c r="C474">
        <v>143</v>
      </c>
      <c r="D474" s="51">
        <v>51.990001678466797</v>
      </c>
      <c r="E474">
        <v>42.75</v>
      </c>
      <c r="F474" s="51">
        <v>-1321.320240020752</v>
      </c>
    </row>
    <row r="475" spans="1:6" x14ac:dyDescent="0.25">
      <c r="A475" t="s">
        <v>563</v>
      </c>
      <c r="B475" t="s">
        <v>46</v>
      </c>
      <c r="C475">
        <v>893</v>
      </c>
      <c r="D475" s="51">
        <v>14.909999847412109</v>
      </c>
      <c r="E475">
        <v>18.8</v>
      </c>
      <c r="F475" s="51">
        <v>3473.7701362609869</v>
      </c>
    </row>
    <row r="476" spans="1:6" x14ac:dyDescent="0.25">
      <c r="A476" t="s">
        <v>564</v>
      </c>
      <c r="B476" t="s">
        <v>52</v>
      </c>
      <c r="C476">
        <v>352</v>
      </c>
      <c r="D476" s="51">
        <v>82.379997253417969</v>
      </c>
      <c r="E476">
        <v>57.74</v>
      </c>
      <c r="F476" s="51">
        <v>-8673.2790332031236</v>
      </c>
    </row>
    <row r="477" spans="1:6" x14ac:dyDescent="0.25">
      <c r="A477" t="s">
        <v>565</v>
      </c>
      <c r="B477" t="s">
        <v>46</v>
      </c>
      <c r="C477">
        <v>343</v>
      </c>
      <c r="D477" s="51">
        <v>14.260000228881836</v>
      </c>
      <c r="E477">
        <v>13.59</v>
      </c>
      <c r="F477" s="51">
        <v>-229.81007850646978</v>
      </c>
    </row>
    <row r="478" spans="1:6" x14ac:dyDescent="0.25">
      <c r="A478" t="s">
        <v>566</v>
      </c>
      <c r="B478" t="s">
        <v>37</v>
      </c>
      <c r="C478">
        <v>644</v>
      </c>
      <c r="D478" s="51">
        <v>82.980003356933594</v>
      </c>
      <c r="E478">
        <v>99.6</v>
      </c>
      <c r="F478" s="51">
        <v>10703.277838134762</v>
      </c>
    </row>
    <row r="479" spans="1:6" x14ac:dyDescent="0.25">
      <c r="A479" t="s">
        <v>567</v>
      </c>
      <c r="B479" t="s">
        <v>55</v>
      </c>
      <c r="C479">
        <v>635</v>
      </c>
      <c r="D479" s="51">
        <v>81.400001525878906</v>
      </c>
      <c r="E479">
        <v>69.94</v>
      </c>
      <c r="F479" s="51">
        <v>-7277.1009689331067</v>
      </c>
    </row>
    <row r="480" spans="1:6" x14ac:dyDescent="0.25">
      <c r="A480" t="s">
        <v>568</v>
      </c>
      <c r="B480" t="s">
        <v>52</v>
      </c>
      <c r="C480">
        <v>181</v>
      </c>
      <c r="D480" s="51">
        <v>55.590000152587891</v>
      </c>
      <c r="E480">
        <v>43.8</v>
      </c>
      <c r="F480" s="51">
        <v>-2133.9900276184089</v>
      </c>
    </row>
    <row r="481" spans="1:6" x14ac:dyDescent="0.25">
      <c r="A481" t="s">
        <v>569</v>
      </c>
      <c r="B481" t="s">
        <v>105</v>
      </c>
      <c r="C481">
        <v>781</v>
      </c>
      <c r="D481" s="51">
        <v>62.659999847412109</v>
      </c>
      <c r="E481">
        <v>65.52</v>
      </c>
      <c r="F481" s="51">
        <v>2233.6601191711393</v>
      </c>
    </row>
    <row r="482" spans="1:6" x14ac:dyDescent="0.25">
      <c r="A482" t="s">
        <v>570</v>
      </c>
      <c r="B482" t="s">
        <v>90</v>
      </c>
      <c r="C482">
        <v>951</v>
      </c>
      <c r="D482" s="51">
        <v>53.569999694824219</v>
      </c>
      <c r="E482">
        <v>64.44</v>
      </c>
      <c r="F482" s="51">
        <v>10337.370290222167</v>
      </c>
    </row>
    <row r="483" spans="1:6" x14ac:dyDescent="0.25">
      <c r="A483" t="s">
        <v>571</v>
      </c>
      <c r="B483" t="s">
        <v>48</v>
      </c>
      <c r="C483">
        <v>871</v>
      </c>
      <c r="D483" s="51">
        <v>80.94000244140625</v>
      </c>
      <c r="E483">
        <v>64.75</v>
      </c>
      <c r="F483" s="51">
        <v>-14101.492126464844</v>
      </c>
    </row>
    <row r="484" spans="1:6" x14ac:dyDescent="0.25">
      <c r="A484" t="s">
        <v>572</v>
      </c>
      <c r="B484" t="s">
        <v>43</v>
      </c>
      <c r="C484">
        <v>271</v>
      </c>
      <c r="D484" s="51">
        <v>31.870000839233398</v>
      </c>
      <c r="E484">
        <v>36.869999999999997</v>
      </c>
      <c r="F484" s="51">
        <v>1354.9997725677483</v>
      </c>
    </row>
    <row r="485" spans="1:6" x14ac:dyDescent="0.25">
      <c r="A485" t="s">
        <v>573</v>
      </c>
      <c r="B485" t="s">
        <v>46</v>
      </c>
      <c r="C485">
        <v>574</v>
      </c>
      <c r="D485" s="51">
        <v>85.720001220703125</v>
      </c>
      <c r="E485">
        <v>62.74</v>
      </c>
      <c r="F485" s="51">
        <v>-13190.520700683592</v>
      </c>
    </row>
    <row r="486" spans="1:6" x14ac:dyDescent="0.25">
      <c r="A486" t="s">
        <v>574</v>
      </c>
      <c r="B486" t="s">
        <v>90</v>
      </c>
      <c r="C486">
        <v>286</v>
      </c>
      <c r="D486" s="51">
        <v>96.970001220703125</v>
      </c>
      <c r="E486">
        <v>80.72</v>
      </c>
      <c r="F486" s="51">
        <v>-4647.5003491210937</v>
      </c>
    </row>
    <row r="487" spans="1:6" x14ac:dyDescent="0.25">
      <c r="A487" t="s">
        <v>575</v>
      </c>
      <c r="B487" t="s">
        <v>43</v>
      </c>
      <c r="C487">
        <v>636</v>
      </c>
      <c r="D487" s="51">
        <v>103.01000213623047</v>
      </c>
      <c r="E487">
        <v>131.13</v>
      </c>
      <c r="F487" s="51">
        <v>17884.318641357419</v>
      </c>
    </row>
    <row r="488" spans="1:6" x14ac:dyDescent="0.25">
      <c r="A488" t="s">
        <v>576</v>
      </c>
      <c r="B488" t="s">
        <v>52</v>
      </c>
      <c r="C488">
        <v>469</v>
      </c>
      <c r="D488" s="51">
        <v>56.939998626708984</v>
      </c>
      <c r="E488">
        <v>56.09</v>
      </c>
      <c r="F488" s="51">
        <v>-398.64935592651204</v>
      </c>
    </row>
    <row r="489" spans="1:6" x14ac:dyDescent="0.25">
      <c r="A489" t="s">
        <v>577</v>
      </c>
      <c r="B489" t="s">
        <v>55</v>
      </c>
      <c r="C489">
        <v>383</v>
      </c>
      <c r="D489" s="51">
        <v>85.400001525878906</v>
      </c>
      <c r="E489">
        <v>100.48</v>
      </c>
      <c r="F489" s="51">
        <v>5775.6394155883809</v>
      </c>
    </row>
    <row r="490" spans="1:6" x14ac:dyDescent="0.25">
      <c r="A490" t="s">
        <v>578</v>
      </c>
      <c r="B490" t="s">
        <v>52</v>
      </c>
      <c r="C490">
        <v>122</v>
      </c>
      <c r="D490" s="51">
        <v>71.379997253417969</v>
      </c>
      <c r="E490">
        <v>60.05</v>
      </c>
      <c r="F490" s="51">
        <v>-1382.2596649169925</v>
      </c>
    </row>
    <row r="491" spans="1:6" x14ac:dyDescent="0.25">
      <c r="A491" t="s">
        <v>579</v>
      </c>
      <c r="B491" t="s">
        <v>48</v>
      </c>
      <c r="C491">
        <v>216</v>
      </c>
      <c r="D491" s="51">
        <v>62.040000915527344</v>
      </c>
      <c r="E491">
        <v>50.75</v>
      </c>
      <c r="F491" s="51">
        <v>-2438.6401977539063</v>
      </c>
    </row>
    <row r="492" spans="1:6" x14ac:dyDescent="0.25">
      <c r="A492" t="s">
        <v>580</v>
      </c>
      <c r="B492" t="s">
        <v>55</v>
      </c>
      <c r="C492">
        <v>873</v>
      </c>
      <c r="D492" s="51">
        <v>101.48999786376953</v>
      </c>
      <c r="E492">
        <v>81.19</v>
      </c>
      <c r="F492" s="51">
        <v>-17721.898135070802</v>
      </c>
    </row>
    <row r="493" spans="1:6" x14ac:dyDescent="0.25">
      <c r="A493" t="s">
        <v>581</v>
      </c>
      <c r="B493" t="s">
        <v>40</v>
      </c>
      <c r="C493">
        <v>117</v>
      </c>
      <c r="D493" s="51">
        <v>88.650001525878906</v>
      </c>
      <c r="E493">
        <v>114.75</v>
      </c>
      <c r="F493" s="51">
        <v>3053.699821472168</v>
      </c>
    </row>
    <row r="494" spans="1:6" x14ac:dyDescent="0.25">
      <c r="A494" t="s">
        <v>582</v>
      </c>
      <c r="B494" t="s">
        <v>96</v>
      </c>
      <c r="C494">
        <v>181</v>
      </c>
      <c r="D494" s="51">
        <v>60.009998321533203</v>
      </c>
      <c r="E494">
        <v>55.91</v>
      </c>
      <c r="F494" s="51">
        <v>-742.09969619751041</v>
      </c>
    </row>
    <row r="495" spans="1:6" x14ac:dyDescent="0.25">
      <c r="A495" t="s">
        <v>583</v>
      </c>
      <c r="B495" t="s">
        <v>52</v>
      </c>
      <c r="C495">
        <v>145</v>
      </c>
      <c r="D495" s="51">
        <v>97.5</v>
      </c>
      <c r="E495">
        <v>109.68</v>
      </c>
      <c r="F495" s="51">
        <v>1766.100000000001</v>
      </c>
    </row>
    <row r="496" spans="1:6" x14ac:dyDescent="0.25">
      <c r="A496" t="s">
        <v>584</v>
      </c>
      <c r="B496" t="s">
        <v>48</v>
      </c>
      <c r="C496">
        <v>830</v>
      </c>
      <c r="D496" s="51">
        <v>61.240001678466797</v>
      </c>
      <c r="E496">
        <v>78.319999999999993</v>
      </c>
      <c r="F496" s="51">
        <v>14176.398606872554</v>
      </c>
    </row>
    <row r="497" spans="1:6" x14ac:dyDescent="0.25">
      <c r="A497" t="s">
        <v>585</v>
      </c>
      <c r="B497" t="s">
        <v>48</v>
      </c>
      <c r="C497">
        <v>937</v>
      </c>
      <c r="D497" s="51">
        <v>47.419998168945313</v>
      </c>
      <c r="E497">
        <v>35.58</v>
      </c>
      <c r="F497" s="51">
        <v>-11094.078284301759</v>
      </c>
    </row>
    <row r="498" spans="1:6" x14ac:dyDescent="0.25">
      <c r="A498" t="s">
        <v>586</v>
      </c>
      <c r="B498" t="s">
        <v>43</v>
      </c>
      <c r="C498">
        <v>436</v>
      </c>
      <c r="D498" s="51">
        <v>71.05999755859375</v>
      </c>
      <c r="E498">
        <v>67.94</v>
      </c>
      <c r="F498" s="51">
        <v>-1360.318935546876</v>
      </c>
    </row>
    <row r="499" spans="1:6" x14ac:dyDescent="0.25">
      <c r="A499" t="s">
        <v>587</v>
      </c>
      <c r="B499" t="s">
        <v>43</v>
      </c>
      <c r="C499">
        <v>209</v>
      </c>
      <c r="D499" s="51">
        <v>73.830001831054688</v>
      </c>
      <c r="E499">
        <v>76.31</v>
      </c>
      <c r="F499" s="51">
        <v>518.31961730957073</v>
      </c>
    </row>
    <row r="500" spans="1:6" x14ac:dyDescent="0.25">
      <c r="A500" t="s">
        <v>588</v>
      </c>
      <c r="B500" t="s">
        <v>52</v>
      </c>
      <c r="C500">
        <v>939</v>
      </c>
      <c r="D500" s="51">
        <v>56.889999389648438</v>
      </c>
      <c r="E500">
        <v>48.32</v>
      </c>
      <c r="F500" s="51">
        <v>-8047.2294268798823</v>
      </c>
    </row>
    <row r="501" spans="1:6" x14ac:dyDescent="0.25">
      <c r="A501" t="s">
        <v>589</v>
      </c>
      <c r="B501" t="s">
        <v>37</v>
      </c>
      <c r="C501">
        <v>253</v>
      </c>
      <c r="D501" s="51">
        <v>38.669998168945313</v>
      </c>
      <c r="E501">
        <v>44.83</v>
      </c>
      <c r="F501" s="51">
        <v>1558.4804632568355</v>
      </c>
    </row>
    <row r="502" spans="1:6" x14ac:dyDescent="0.25">
      <c r="A502" t="s">
        <v>590</v>
      </c>
      <c r="B502" t="s">
        <v>90</v>
      </c>
      <c r="C502">
        <v>110</v>
      </c>
      <c r="D502" s="51">
        <v>37.720001220703125</v>
      </c>
      <c r="E502">
        <v>34.58</v>
      </c>
      <c r="F502" s="51">
        <v>-345.40013427734391</v>
      </c>
    </row>
    <row r="503" spans="1:6" x14ac:dyDescent="0.25">
      <c r="A503" t="s">
        <v>591</v>
      </c>
      <c r="B503" t="s">
        <v>40</v>
      </c>
      <c r="C503">
        <v>442</v>
      </c>
      <c r="D503" s="51">
        <v>80.489997863769531</v>
      </c>
      <c r="E503">
        <v>59.07</v>
      </c>
      <c r="F503" s="51">
        <v>-9467.6390557861323</v>
      </c>
    </row>
    <row r="504" spans="1:6" x14ac:dyDescent="0.25">
      <c r="A504" t="s">
        <v>592</v>
      </c>
      <c r="B504" t="s">
        <v>90</v>
      </c>
      <c r="C504">
        <v>1046</v>
      </c>
      <c r="D504" s="51">
        <v>34.130001068115234</v>
      </c>
      <c r="E504">
        <v>37.15</v>
      </c>
      <c r="F504" s="51">
        <v>3158.9188827514636</v>
      </c>
    </row>
    <row r="505" spans="1:6" x14ac:dyDescent="0.25">
      <c r="A505" t="s">
        <v>593</v>
      </c>
      <c r="B505" t="s">
        <v>55</v>
      </c>
      <c r="C505">
        <v>725</v>
      </c>
      <c r="D505" s="51">
        <v>64.349998474121094</v>
      </c>
      <c r="E505">
        <v>82.74</v>
      </c>
      <c r="F505" s="51">
        <v>13332.751106262203</v>
      </c>
    </row>
    <row r="506" spans="1:6" x14ac:dyDescent="0.25">
      <c r="A506" t="s">
        <v>594</v>
      </c>
      <c r="B506" t="s">
        <v>46</v>
      </c>
      <c r="C506">
        <v>675</v>
      </c>
      <c r="D506" s="51">
        <v>18.209999084472656</v>
      </c>
      <c r="E506">
        <v>17.600000000000001</v>
      </c>
      <c r="F506" s="51">
        <v>-411.749382019042</v>
      </c>
    </row>
    <row r="507" spans="1:6" x14ac:dyDescent="0.25">
      <c r="A507" t="s">
        <v>595</v>
      </c>
      <c r="B507" t="s">
        <v>90</v>
      </c>
      <c r="C507">
        <v>130</v>
      </c>
      <c r="D507" s="51">
        <v>31.930000305175781</v>
      </c>
      <c r="E507">
        <v>37.22</v>
      </c>
      <c r="F507" s="51">
        <v>687.69996032714835</v>
      </c>
    </row>
    <row r="508" spans="1:6" x14ac:dyDescent="0.25">
      <c r="A508" t="s">
        <v>596</v>
      </c>
      <c r="B508" t="s">
        <v>90</v>
      </c>
      <c r="C508">
        <v>250</v>
      </c>
      <c r="D508" s="51">
        <v>63.669998168945313</v>
      </c>
      <c r="E508">
        <v>46.08</v>
      </c>
      <c r="F508" s="51">
        <v>-4397.4995422363281</v>
      </c>
    </row>
    <row r="509" spans="1:6" x14ac:dyDescent="0.25">
      <c r="A509" t="s">
        <v>597</v>
      </c>
      <c r="B509" t="s">
        <v>55</v>
      </c>
      <c r="C509">
        <v>263</v>
      </c>
      <c r="D509" s="51">
        <v>51.419998168945313</v>
      </c>
      <c r="E509">
        <v>64.02</v>
      </c>
      <c r="F509" s="51">
        <v>3313.8004815673817</v>
      </c>
    </row>
    <row r="510" spans="1:6" x14ac:dyDescent="0.25">
      <c r="A510" t="s">
        <v>598</v>
      </c>
      <c r="B510" t="s">
        <v>90</v>
      </c>
      <c r="C510">
        <v>855</v>
      </c>
      <c r="D510" s="51">
        <v>95.730003356933594</v>
      </c>
      <c r="E510">
        <v>77.22</v>
      </c>
      <c r="F510" s="51">
        <v>-15826.052870178224</v>
      </c>
    </row>
    <row r="511" spans="1:6" x14ac:dyDescent="0.25">
      <c r="A511" t="s">
        <v>599</v>
      </c>
      <c r="B511" t="s">
        <v>52</v>
      </c>
      <c r="C511">
        <v>808</v>
      </c>
      <c r="D511" s="51">
        <v>67.599998474121094</v>
      </c>
      <c r="E511">
        <v>68.849999999999994</v>
      </c>
      <c r="F511" s="51">
        <v>1010.0012329101517</v>
      </c>
    </row>
    <row r="512" spans="1:6" x14ac:dyDescent="0.25">
      <c r="A512" t="s">
        <v>600</v>
      </c>
      <c r="B512" t="s">
        <v>43</v>
      </c>
      <c r="C512">
        <v>898</v>
      </c>
      <c r="D512" s="51">
        <v>41.220001220703125</v>
      </c>
      <c r="E512">
        <v>42.56</v>
      </c>
      <c r="F512" s="51">
        <v>1203.3189038085957</v>
      </c>
    </row>
    <row r="513" spans="1:6" x14ac:dyDescent="0.25">
      <c r="A513" t="s">
        <v>601</v>
      </c>
      <c r="B513" t="s">
        <v>55</v>
      </c>
      <c r="C513">
        <v>1028</v>
      </c>
      <c r="D513" s="51">
        <v>51.819999694824219</v>
      </c>
      <c r="E513">
        <v>36.36</v>
      </c>
      <c r="F513" s="51">
        <v>-15892.879686279297</v>
      </c>
    </row>
    <row r="514" spans="1:6" x14ac:dyDescent="0.25">
      <c r="A514" t="s">
        <v>602</v>
      </c>
      <c r="B514" t="s">
        <v>46</v>
      </c>
      <c r="C514">
        <v>621</v>
      </c>
      <c r="D514" s="51">
        <v>78.480003356933594</v>
      </c>
      <c r="E514">
        <v>69.88</v>
      </c>
      <c r="F514" s="51">
        <v>-5340.6020846557649</v>
      </c>
    </row>
    <row r="515" spans="1:6" x14ac:dyDescent="0.25">
      <c r="A515" t="s">
        <v>603</v>
      </c>
      <c r="B515" t="s">
        <v>43</v>
      </c>
      <c r="C515">
        <v>262</v>
      </c>
      <c r="D515" s="51">
        <v>51.959999084472656</v>
      </c>
      <c r="E515">
        <v>48.46</v>
      </c>
      <c r="F515" s="51">
        <v>-916.99976013183573</v>
      </c>
    </row>
    <row r="516" spans="1:6" x14ac:dyDescent="0.25">
      <c r="A516" t="s">
        <v>604</v>
      </c>
      <c r="B516" t="s">
        <v>52</v>
      </c>
      <c r="C516">
        <v>588</v>
      </c>
      <c r="D516" s="51">
        <v>87.470001220703125</v>
      </c>
      <c r="E516">
        <v>91.13</v>
      </c>
      <c r="F516" s="51">
        <v>2152.0792822265598</v>
      </c>
    </row>
    <row r="517" spans="1:6" x14ac:dyDescent="0.25">
      <c r="A517" t="s">
        <v>605</v>
      </c>
      <c r="B517" t="s">
        <v>48</v>
      </c>
      <c r="C517">
        <v>429</v>
      </c>
      <c r="D517" s="51">
        <v>42.5</v>
      </c>
      <c r="E517">
        <v>54.01</v>
      </c>
      <c r="F517" s="51">
        <v>4937.7899999999991</v>
      </c>
    </row>
    <row r="518" spans="1:6" x14ac:dyDescent="0.25">
      <c r="A518" t="s">
        <v>606</v>
      </c>
      <c r="B518" t="s">
        <v>48</v>
      </c>
      <c r="C518">
        <v>196</v>
      </c>
      <c r="D518" s="51">
        <v>99.669998168945313</v>
      </c>
      <c r="E518">
        <v>121.58</v>
      </c>
      <c r="F518" s="51">
        <v>4294.3603588867181</v>
      </c>
    </row>
    <row r="519" spans="1:6" x14ac:dyDescent="0.25">
      <c r="A519" t="s">
        <v>607</v>
      </c>
      <c r="B519" t="s">
        <v>96</v>
      </c>
      <c r="C519">
        <v>526</v>
      </c>
      <c r="D519" s="51">
        <v>74.470001220703125</v>
      </c>
      <c r="E519">
        <v>81.739999999999995</v>
      </c>
      <c r="F519" s="51">
        <v>3824.0193579101538</v>
      </c>
    </row>
    <row r="520" spans="1:6" x14ac:dyDescent="0.25">
      <c r="A520" t="s">
        <v>608</v>
      </c>
      <c r="B520" t="s">
        <v>105</v>
      </c>
      <c r="C520">
        <v>168</v>
      </c>
      <c r="D520" s="51">
        <v>48.130001068115234</v>
      </c>
      <c r="E520">
        <v>54.36</v>
      </c>
      <c r="F520" s="51">
        <v>1046.6398205566406</v>
      </c>
    </row>
    <row r="521" spans="1:6" x14ac:dyDescent="0.25">
      <c r="A521" t="s">
        <v>609</v>
      </c>
      <c r="B521" t="s">
        <v>37</v>
      </c>
      <c r="C521">
        <v>127</v>
      </c>
      <c r="D521" s="51">
        <v>25.440000534057617</v>
      </c>
      <c r="E521">
        <v>28.41</v>
      </c>
      <c r="F521" s="51">
        <v>377.18993217468261</v>
      </c>
    </row>
    <row r="522" spans="1:6" x14ac:dyDescent="0.25">
      <c r="A522" t="s">
        <v>610</v>
      </c>
      <c r="B522" t="s">
        <v>52</v>
      </c>
      <c r="C522">
        <v>54</v>
      </c>
      <c r="D522" s="51">
        <v>17.489999771118164</v>
      </c>
      <c r="E522">
        <v>13.07</v>
      </c>
      <c r="F522" s="51">
        <v>-238.67998764038083</v>
      </c>
    </row>
    <row r="523" spans="1:6" x14ac:dyDescent="0.25">
      <c r="A523" t="s">
        <v>611</v>
      </c>
      <c r="B523" t="s">
        <v>43</v>
      </c>
      <c r="C523">
        <v>885</v>
      </c>
      <c r="D523" s="51">
        <v>49.560001373291016</v>
      </c>
      <c r="E523">
        <v>62.12</v>
      </c>
      <c r="F523" s="51">
        <v>11115.598784637448</v>
      </c>
    </row>
    <row r="524" spans="1:6" x14ac:dyDescent="0.25">
      <c r="A524" t="s">
        <v>612</v>
      </c>
      <c r="B524" t="s">
        <v>52</v>
      </c>
      <c r="C524">
        <v>734</v>
      </c>
      <c r="D524" s="51">
        <v>93.910003662109375</v>
      </c>
      <c r="E524">
        <v>114.79</v>
      </c>
      <c r="F524" s="51">
        <v>15325.917312011723</v>
      </c>
    </row>
    <row r="525" spans="1:6" x14ac:dyDescent="0.25">
      <c r="A525" t="s">
        <v>613</v>
      </c>
      <c r="B525" t="s">
        <v>96</v>
      </c>
      <c r="C525">
        <v>1032</v>
      </c>
      <c r="D525" s="51">
        <v>27.559999465942383</v>
      </c>
      <c r="E525">
        <v>26.32</v>
      </c>
      <c r="F525" s="51">
        <v>-1279.6794488525388</v>
      </c>
    </row>
    <row r="526" spans="1:6" x14ac:dyDescent="0.25">
      <c r="A526" t="s">
        <v>614</v>
      </c>
      <c r="B526" t="s">
        <v>90</v>
      </c>
      <c r="C526">
        <v>916</v>
      </c>
      <c r="D526" s="51">
        <v>15.149999618530273</v>
      </c>
      <c r="E526">
        <v>14.77</v>
      </c>
      <c r="F526" s="51">
        <v>-348.07965057373087</v>
      </c>
    </row>
    <row r="527" spans="1:6" x14ac:dyDescent="0.25">
      <c r="A527" t="s">
        <v>615</v>
      </c>
      <c r="B527" t="s">
        <v>37</v>
      </c>
      <c r="C527">
        <v>875</v>
      </c>
      <c r="D527" s="51">
        <v>16.709999084472656</v>
      </c>
      <c r="E527">
        <v>21.56</v>
      </c>
      <c r="F527" s="51">
        <v>4243.7508010864249</v>
      </c>
    </row>
    <row r="528" spans="1:6" x14ac:dyDescent="0.25">
      <c r="A528" t="s">
        <v>616</v>
      </c>
      <c r="B528" t="s">
        <v>37</v>
      </c>
      <c r="C528">
        <v>635</v>
      </c>
      <c r="D528" s="51">
        <v>20.510000228881836</v>
      </c>
      <c r="E528">
        <v>16.37</v>
      </c>
      <c r="F528" s="51">
        <v>-2628.9001453399651</v>
      </c>
    </row>
    <row r="529" spans="1:6" x14ac:dyDescent="0.25">
      <c r="A529" t="s">
        <v>617</v>
      </c>
      <c r="B529" t="s">
        <v>90</v>
      </c>
      <c r="C529">
        <v>303</v>
      </c>
      <c r="D529" s="51">
        <v>100.83999633789063</v>
      </c>
      <c r="E529">
        <v>105.86</v>
      </c>
      <c r="F529" s="51">
        <v>1521.0611096191406</v>
      </c>
    </row>
    <row r="530" spans="1:6" x14ac:dyDescent="0.25">
      <c r="A530" t="s">
        <v>618</v>
      </c>
      <c r="B530" t="s">
        <v>48</v>
      </c>
      <c r="C530">
        <v>756</v>
      </c>
      <c r="D530" s="51">
        <v>100.84999847412109</v>
      </c>
      <c r="E530">
        <v>116.56</v>
      </c>
      <c r="F530" s="51">
        <v>11876.761153564456</v>
      </c>
    </row>
    <row r="531" spans="1:6" x14ac:dyDescent="0.25">
      <c r="A531" t="s">
        <v>619</v>
      </c>
      <c r="B531" t="s">
        <v>40</v>
      </c>
      <c r="C531">
        <v>281</v>
      </c>
      <c r="D531" s="51">
        <v>40.349998474121094</v>
      </c>
      <c r="E531">
        <v>50.32</v>
      </c>
      <c r="F531" s="51">
        <v>2801.5704287719727</v>
      </c>
    </row>
    <row r="532" spans="1:6" x14ac:dyDescent="0.25">
      <c r="A532" t="s">
        <v>620</v>
      </c>
      <c r="B532" t="s">
        <v>48</v>
      </c>
      <c r="C532">
        <v>469</v>
      </c>
      <c r="D532" s="51">
        <v>48.619998931884766</v>
      </c>
      <c r="E532">
        <v>62.43</v>
      </c>
      <c r="F532" s="51">
        <v>6476.890500946045</v>
      </c>
    </row>
    <row r="533" spans="1:6" x14ac:dyDescent="0.25">
      <c r="A533" t="s">
        <v>621</v>
      </c>
      <c r="B533" t="s">
        <v>52</v>
      </c>
      <c r="C533">
        <v>352</v>
      </c>
      <c r="D533" s="51">
        <v>22.219999313354492</v>
      </c>
      <c r="E533">
        <v>27.03</v>
      </c>
      <c r="F533" s="51">
        <v>1693.1202416992192</v>
      </c>
    </row>
    <row r="534" spans="1:6" x14ac:dyDescent="0.25">
      <c r="A534" t="s">
        <v>622</v>
      </c>
      <c r="B534" t="s">
        <v>105</v>
      </c>
      <c r="C534">
        <v>795</v>
      </c>
      <c r="D534" s="51">
        <v>107.80000305175781</v>
      </c>
      <c r="E534">
        <v>139.21</v>
      </c>
      <c r="F534" s="51">
        <v>24970.947573852547</v>
      </c>
    </row>
    <row r="535" spans="1:6" x14ac:dyDescent="0.25">
      <c r="A535" t="s">
        <v>623</v>
      </c>
      <c r="B535" t="s">
        <v>40</v>
      </c>
      <c r="C535">
        <v>138</v>
      </c>
      <c r="D535" s="51">
        <v>109.94999694824219</v>
      </c>
      <c r="E535">
        <v>78.55</v>
      </c>
      <c r="F535" s="51">
        <v>-4333.1995788574222</v>
      </c>
    </row>
    <row r="536" spans="1:6" x14ac:dyDescent="0.25">
      <c r="A536" t="s">
        <v>624</v>
      </c>
      <c r="B536" t="s">
        <v>48</v>
      </c>
      <c r="C536">
        <v>83</v>
      </c>
      <c r="D536" s="51">
        <v>23.959999084472656</v>
      </c>
      <c r="E536">
        <v>30.13</v>
      </c>
      <c r="F536" s="51">
        <v>512.11007598876949</v>
      </c>
    </row>
    <row r="537" spans="1:6" x14ac:dyDescent="0.25">
      <c r="A537" t="s">
        <v>625</v>
      </c>
      <c r="B537" t="s">
        <v>96</v>
      </c>
      <c r="C537">
        <v>838</v>
      </c>
      <c r="D537" s="51">
        <v>93.650001525878906</v>
      </c>
      <c r="E537">
        <v>76.739999999999995</v>
      </c>
      <c r="F537" s="51">
        <v>-14170.581278686528</v>
      </c>
    </row>
    <row r="538" spans="1:6" x14ac:dyDescent="0.25">
      <c r="A538" t="s">
        <v>626</v>
      </c>
      <c r="B538" t="s">
        <v>46</v>
      </c>
      <c r="C538">
        <v>508</v>
      </c>
      <c r="D538" s="51">
        <v>94.199996948242188</v>
      </c>
      <c r="E538">
        <v>88.03</v>
      </c>
      <c r="F538" s="51">
        <v>-3134.3584497070306</v>
      </c>
    </row>
    <row r="539" spans="1:6" x14ac:dyDescent="0.25">
      <c r="A539" t="s">
        <v>627</v>
      </c>
      <c r="B539" t="s">
        <v>48</v>
      </c>
      <c r="C539">
        <v>731</v>
      </c>
      <c r="D539" s="51">
        <v>39.959999084472656</v>
      </c>
      <c r="E539">
        <v>49.23</v>
      </c>
      <c r="F539" s="51">
        <v>6776.3706692504857</v>
      </c>
    </row>
    <row r="540" spans="1:6" x14ac:dyDescent="0.25">
      <c r="A540" t="s">
        <v>628</v>
      </c>
      <c r="B540" t="s">
        <v>52</v>
      </c>
      <c r="C540">
        <v>574</v>
      </c>
      <c r="D540" s="51">
        <v>17.219999313354492</v>
      </c>
      <c r="E540">
        <v>21.45</v>
      </c>
      <c r="F540" s="51">
        <v>2428.0203941345212</v>
      </c>
    </row>
    <row r="541" spans="1:6" x14ac:dyDescent="0.25">
      <c r="A541" t="s">
        <v>629</v>
      </c>
      <c r="B541" t="s">
        <v>55</v>
      </c>
      <c r="C541">
        <v>672</v>
      </c>
      <c r="D541" s="51">
        <v>42.090000152587891</v>
      </c>
      <c r="E541">
        <v>49.41</v>
      </c>
      <c r="F541" s="51">
        <v>4919.0398974609352</v>
      </c>
    </row>
    <row r="542" spans="1:6" x14ac:dyDescent="0.25">
      <c r="A542" t="s">
        <v>630</v>
      </c>
      <c r="B542" t="s">
        <v>48</v>
      </c>
      <c r="C542">
        <v>615</v>
      </c>
      <c r="D542" s="51">
        <v>43.25</v>
      </c>
      <c r="E542">
        <v>42.7</v>
      </c>
      <c r="F542" s="51">
        <v>-338.24999999999824</v>
      </c>
    </row>
    <row r="543" spans="1:6" x14ac:dyDescent="0.25">
      <c r="A543" t="s">
        <v>631</v>
      </c>
      <c r="B543" t="s">
        <v>48</v>
      </c>
      <c r="C543">
        <v>595</v>
      </c>
      <c r="D543" s="51">
        <v>69.819999694824219</v>
      </c>
      <c r="E543">
        <v>62.1</v>
      </c>
      <c r="F543" s="51">
        <v>-4593.3998184204092</v>
      </c>
    </row>
    <row r="544" spans="1:6" x14ac:dyDescent="0.25">
      <c r="A544" t="s">
        <v>632</v>
      </c>
      <c r="B544" t="s">
        <v>46</v>
      </c>
      <c r="C544">
        <v>291</v>
      </c>
      <c r="D544" s="51">
        <v>24.110000610351563</v>
      </c>
      <c r="E544">
        <v>17.510000000000002</v>
      </c>
      <c r="F544" s="51">
        <v>-1920.6001776123042</v>
      </c>
    </row>
    <row r="545" spans="1:6" x14ac:dyDescent="0.25">
      <c r="A545" t="s">
        <v>633</v>
      </c>
      <c r="B545" t="s">
        <v>46</v>
      </c>
      <c r="C545">
        <v>1013</v>
      </c>
      <c r="D545" s="51">
        <v>19.489999771118164</v>
      </c>
      <c r="E545">
        <v>14.51</v>
      </c>
      <c r="F545" s="51">
        <v>-5044.7397681427001</v>
      </c>
    </row>
    <row r="546" spans="1:6" x14ac:dyDescent="0.25">
      <c r="A546" t="s">
        <v>634</v>
      </c>
      <c r="B546" t="s">
        <v>105</v>
      </c>
      <c r="C546">
        <v>91</v>
      </c>
      <c r="D546" s="51">
        <v>63.159999847412109</v>
      </c>
      <c r="E546">
        <v>44.35</v>
      </c>
      <c r="F546" s="51">
        <v>-1711.7099861145018</v>
      </c>
    </row>
    <row r="547" spans="1:6" x14ac:dyDescent="0.25">
      <c r="A547" t="s">
        <v>635</v>
      </c>
      <c r="B547" t="s">
        <v>52</v>
      </c>
      <c r="C547">
        <v>516</v>
      </c>
      <c r="D547" s="51">
        <v>64</v>
      </c>
      <c r="E547">
        <v>59.32</v>
      </c>
      <c r="F547" s="51">
        <v>-2414.8799999999997</v>
      </c>
    </row>
    <row r="548" spans="1:6" x14ac:dyDescent="0.25">
      <c r="A548" t="s">
        <v>636</v>
      </c>
      <c r="B548" t="s">
        <v>48</v>
      </c>
      <c r="C548">
        <v>831</v>
      </c>
      <c r="D548" s="51">
        <v>65.339996337890625</v>
      </c>
      <c r="E548">
        <v>73.59</v>
      </c>
      <c r="F548" s="51">
        <v>6855.7530432128933</v>
      </c>
    </row>
    <row r="549" spans="1:6" x14ac:dyDescent="0.25">
      <c r="A549" t="s">
        <v>637</v>
      </c>
      <c r="B549" t="s">
        <v>40</v>
      </c>
      <c r="C549">
        <v>272</v>
      </c>
      <c r="D549" s="51">
        <v>102.80000305175781</v>
      </c>
      <c r="E549">
        <v>117.83</v>
      </c>
      <c r="F549" s="51">
        <v>4088.1591699218743</v>
      </c>
    </row>
    <row r="550" spans="1:6" x14ac:dyDescent="0.25">
      <c r="A550" t="s">
        <v>638</v>
      </c>
      <c r="B550" t="s">
        <v>43</v>
      </c>
      <c r="C550">
        <v>157</v>
      </c>
      <c r="D550" s="51">
        <v>87.129997253417969</v>
      </c>
      <c r="E550">
        <v>111.66</v>
      </c>
      <c r="F550" s="51">
        <v>3851.2104312133783</v>
      </c>
    </row>
    <row r="551" spans="1:6" x14ac:dyDescent="0.25">
      <c r="A551" t="s">
        <v>639</v>
      </c>
      <c r="B551" t="s">
        <v>52</v>
      </c>
      <c r="C551">
        <v>529</v>
      </c>
      <c r="D551" s="51">
        <v>11.939999580383301</v>
      </c>
      <c r="E551">
        <v>11.15</v>
      </c>
      <c r="F551" s="51">
        <v>-417.90977802276592</v>
      </c>
    </row>
    <row r="552" spans="1:6" x14ac:dyDescent="0.25">
      <c r="A552" t="s">
        <v>640</v>
      </c>
      <c r="B552" t="s">
        <v>96</v>
      </c>
      <c r="C552">
        <v>1042</v>
      </c>
      <c r="D552" s="51">
        <v>86.599998474121094</v>
      </c>
      <c r="E552">
        <v>88.59</v>
      </c>
      <c r="F552" s="51">
        <v>2073.5815899658237</v>
      </c>
    </row>
    <row r="553" spans="1:6" x14ac:dyDescent="0.25">
      <c r="A553" t="s">
        <v>641</v>
      </c>
      <c r="B553" t="s">
        <v>55</v>
      </c>
      <c r="C553">
        <v>109</v>
      </c>
      <c r="D553" s="51">
        <v>93.989997863769531</v>
      </c>
      <c r="E553">
        <v>107.51</v>
      </c>
      <c r="F553" s="51">
        <v>1473.6802328491217</v>
      </c>
    </row>
    <row r="554" spans="1:6" x14ac:dyDescent="0.25">
      <c r="A554" t="s">
        <v>642</v>
      </c>
      <c r="B554" t="s">
        <v>37</v>
      </c>
      <c r="C554">
        <v>287</v>
      </c>
      <c r="D554" s="51">
        <v>73.360000610351563</v>
      </c>
      <c r="E554">
        <v>79.05</v>
      </c>
      <c r="F554" s="51">
        <v>1633.0298248291008</v>
      </c>
    </row>
    <row r="555" spans="1:6" x14ac:dyDescent="0.25">
      <c r="A555" t="s">
        <v>643</v>
      </c>
      <c r="B555" t="s">
        <v>105</v>
      </c>
      <c r="C555">
        <v>918</v>
      </c>
      <c r="D555" s="51">
        <v>28.100000381469727</v>
      </c>
      <c r="E555">
        <v>35.15</v>
      </c>
      <c r="F555" s="51">
        <v>6471.8996498107899</v>
      </c>
    </row>
    <row r="556" spans="1:6" x14ac:dyDescent="0.25">
      <c r="A556" t="s">
        <v>644</v>
      </c>
      <c r="B556" t="s">
        <v>48</v>
      </c>
      <c r="C556">
        <v>1021</v>
      </c>
      <c r="D556" s="51">
        <v>58.590000152587891</v>
      </c>
      <c r="E556">
        <v>55.31</v>
      </c>
      <c r="F556" s="51">
        <v>-3348.8801557922338</v>
      </c>
    </row>
    <row r="557" spans="1:6" x14ac:dyDescent="0.25">
      <c r="A557" t="s">
        <v>645</v>
      </c>
      <c r="B557" t="s">
        <v>96</v>
      </c>
      <c r="C557">
        <v>434</v>
      </c>
      <c r="D557" s="51">
        <v>19.989999771118164</v>
      </c>
      <c r="E557">
        <v>17.03</v>
      </c>
      <c r="F557" s="51">
        <v>-1284.6399006652828</v>
      </c>
    </row>
    <row r="558" spans="1:6" x14ac:dyDescent="0.25">
      <c r="A558" t="s">
        <v>646</v>
      </c>
      <c r="B558" t="s">
        <v>40</v>
      </c>
      <c r="C558">
        <v>202</v>
      </c>
      <c r="D558" s="51">
        <v>105.05000305175781</v>
      </c>
      <c r="E558">
        <v>104.3</v>
      </c>
      <c r="F558" s="51">
        <v>-151.5006164550787</v>
      </c>
    </row>
    <row r="559" spans="1:6" x14ac:dyDescent="0.25">
      <c r="A559" t="s">
        <v>647</v>
      </c>
      <c r="B559" t="s">
        <v>105</v>
      </c>
      <c r="C559">
        <v>219</v>
      </c>
      <c r="D559" s="51">
        <v>51.939998626708984</v>
      </c>
      <c r="E559">
        <v>60.61</v>
      </c>
      <c r="F559" s="51">
        <v>1898.7303007507323</v>
      </c>
    </row>
    <row r="560" spans="1:6" x14ac:dyDescent="0.25">
      <c r="A560" t="s">
        <v>648</v>
      </c>
      <c r="B560" t="s">
        <v>37</v>
      </c>
      <c r="C560">
        <v>116</v>
      </c>
      <c r="D560" s="51">
        <v>77.029998779296875</v>
      </c>
      <c r="E560">
        <v>74.459999999999994</v>
      </c>
      <c r="F560" s="51">
        <v>-298.11985839843823</v>
      </c>
    </row>
    <row r="561" spans="1:6" x14ac:dyDescent="0.25">
      <c r="A561" t="s">
        <v>649</v>
      </c>
      <c r="B561" t="s">
        <v>37</v>
      </c>
      <c r="C561">
        <v>408</v>
      </c>
      <c r="D561" s="51">
        <v>32.770000457763672</v>
      </c>
      <c r="E561">
        <v>37.229999999999997</v>
      </c>
      <c r="F561" s="51">
        <v>1819.6798132324207</v>
      </c>
    </row>
    <row r="562" spans="1:6" x14ac:dyDescent="0.25">
      <c r="A562" t="s">
        <v>650</v>
      </c>
      <c r="B562" t="s">
        <v>40</v>
      </c>
      <c r="C562">
        <v>877</v>
      </c>
      <c r="D562" s="51">
        <v>90.410003662109375</v>
      </c>
      <c r="E562">
        <v>79.52</v>
      </c>
      <c r="F562" s="51">
        <v>-9550.5332116699246</v>
      </c>
    </row>
    <row r="563" spans="1:6" x14ac:dyDescent="0.25">
      <c r="A563" t="s">
        <v>651</v>
      </c>
      <c r="B563" t="s">
        <v>46</v>
      </c>
      <c r="C563">
        <v>217</v>
      </c>
      <c r="D563" s="51">
        <v>47.889999389648438</v>
      </c>
      <c r="E563">
        <v>34.590000000000003</v>
      </c>
      <c r="F563" s="51">
        <v>-2886.0998675537103</v>
      </c>
    </row>
    <row r="564" spans="1:6" x14ac:dyDescent="0.25">
      <c r="A564" t="s">
        <v>652</v>
      </c>
      <c r="B564" t="s">
        <v>90</v>
      </c>
      <c r="C564">
        <v>925</v>
      </c>
      <c r="D564" s="51">
        <v>62.619998931884766</v>
      </c>
      <c r="E564">
        <v>44.97</v>
      </c>
      <c r="F564" s="51">
        <v>-16326.24901199341</v>
      </c>
    </row>
    <row r="565" spans="1:6" x14ac:dyDescent="0.25">
      <c r="A565" t="s">
        <v>653</v>
      </c>
      <c r="B565" t="s">
        <v>90</v>
      </c>
      <c r="C565">
        <v>440</v>
      </c>
      <c r="D565" s="51">
        <v>109.26999664306641</v>
      </c>
      <c r="E565">
        <v>132.25</v>
      </c>
      <c r="F565" s="51">
        <v>10111.201477050781</v>
      </c>
    </row>
    <row r="566" spans="1:6" x14ac:dyDescent="0.25">
      <c r="A566" t="s">
        <v>654</v>
      </c>
      <c r="B566" t="s">
        <v>96</v>
      </c>
      <c r="C566">
        <v>532</v>
      </c>
      <c r="D566" s="51">
        <v>62.650001525878906</v>
      </c>
      <c r="E566">
        <v>46.37</v>
      </c>
      <c r="F566" s="51">
        <v>-8660.9608117675798</v>
      </c>
    </row>
    <row r="567" spans="1:6" x14ac:dyDescent="0.25">
      <c r="A567" t="s">
        <v>655</v>
      </c>
      <c r="B567" t="s">
        <v>43</v>
      </c>
      <c r="C567">
        <v>947</v>
      </c>
      <c r="D567" s="51">
        <v>105.43000030517578</v>
      </c>
      <c r="E567">
        <v>74.5</v>
      </c>
      <c r="F567" s="51">
        <v>-29290.710289001465</v>
      </c>
    </row>
    <row r="568" spans="1:6" x14ac:dyDescent="0.25">
      <c r="A568" t="s">
        <v>656</v>
      </c>
      <c r="B568" t="s">
        <v>90</v>
      </c>
      <c r="C568">
        <v>295</v>
      </c>
      <c r="D568" s="51">
        <v>61.049999237060547</v>
      </c>
      <c r="E568">
        <v>71.78</v>
      </c>
      <c r="F568" s="51">
        <v>3165.350225067139</v>
      </c>
    </row>
    <row r="569" spans="1:6" x14ac:dyDescent="0.25">
      <c r="A569" t="s">
        <v>657</v>
      </c>
      <c r="B569" t="s">
        <v>52</v>
      </c>
      <c r="C569">
        <v>190</v>
      </c>
      <c r="D569" s="51">
        <v>51.459999084472656</v>
      </c>
      <c r="E569">
        <v>53.51</v>
      </c>
      <c r="F569" s="51">
        <v>389.50017395019495</v>
      </c>
    </row>
    <row r="570" spans="1:6" x14ac:dyDescent="0.25">
      <c r="A570" t="s">
        <v>658</v>
      </c>
      <c r="B570" t="s">
        <v>90</v>
      </c>
      <c r="C570">
        <v>641</v>
      </c>
      <c r="D570" s="51">
        <v>79.949996948242188</v>
      </c>
      <c r="E570">
        <v>58.11</v>
      </c>
      <c r="F570" s="51">
        <v>-13999.438043823242</v>
      </c>
    </row>
    <row r="571" spans="1:6" x14ac:dyDescent="0.25">
      <c r="A571" t="s">
        <v>659</v>
      </c>
      <c r="B571" t="s">
        <v>55</v>
      </c>
      <c r="C571">
        <v>695</v>
      </c>
      <c r="D571" s="51">
        <v>39</v>
      </c>
      <c r="E571">
        <v>33.54</v>
      </c>
      <c r="F571" s="51">
        <v>-3794.7000000000007</v>
      </c>
    </row>
    <row r="572" spans="1:6" x14ac:dyDescent="0.25">
      <c r="A572" t="s">
        <v>660</v>
      </c>
      <c r="B572" t="s">
        <v>46</v>
      </c>
      <c r="C572">
        <v>324</v>
      </c>
      <c r="D572" s="51">
        <v>43.029998779296875</v>
      </c>
      <c r="E572">
        <v>45.92</v>
      </c>
      <c r="F572" s="51">
        <v>936.36039550781311</v>
      </c>
    </row>
    <row r="573" spans="1:6" x14ac:dyDescent="0.25">
      <c r="A573" t="s">
        <v>661</v>
      </c>
      <c r="B573" t="s">
        <v>43</v>
      </c>
      <c r="C573">
        <v>569</v>
      </c>
      <c r="D573" s="51">
        <v>86.269996643066406</v>
      </c>
      <c r="E573">
        <v>63.8</v>
      </c>
      <c r="F573" s="51">
        <v>-12785.428089904786</v>
      </c>
    </row>
    <row r="574" spans="1:6" x14ac:dyDescent="0.25">
      <c r="A574" t="s">
        <v>662</v>
      </c>
      <c r="B574" t="s">
        <v>105</v>
      </c>
      <c r="C574">
        <v>927</v>
      </c>
      <c r="D574" s="51">
        <v>25.540000915527344</v>
      </c>
      <c r="E574">
        <v>29.17</v>
      </c>
      <c r="F574" s="51">
        <v>3365.0091513061539</v>
      </c>
    </row>
    <row r="575" spans="1:6" x14ac:dyDescent="0.25">
      <c r="A575" t="s">
        <v>663</v>
      </c>
      <c r="B575" t="s">
        <v>52</v>
      </c>
      <c r="C575">
        <v>995</v>
      </c>
      <c r="D575" s="51">
        <v>88.050003051757813</v>
      </c>
      <c r="E575">
        <v>94.41</v>
      </c>
      <c r="F575" s="51">
        <v>6328.1969635009727</v>
      </c>
    </row>
    <row r="576" spans="1:6" x14ac:dyDescent="0.25">
      <c r="A576" t="s">
        <v>664</v>
      </c>
      <c r="B576" t="s">
        <v>105</v>
      </c>
      <c r="C576">
        <v>360</v>
      </c>
      <c r="D576" s="51">
        <v>104.26999664306641</v>
      </c>
      <c r="E576">
        <v>111.49</v>
      </c>
      <c r="F576" s="51">
        <v>2599.201208496092</v>
      </c>
    </row>
    <row r="577" spans="1:6" x14ac:dyDescent="0.25">
      <c r="A577" t="s">
        <v>665</v>
      </c>
      <c r="B577" t="s">
        <v>40</v>
      </c>
      <c r="C577">
        <v>737</v>
      </c>
      <c r="D577" s="51">
        <v>65.680000305175781</v>
      </c>
      <c r="E577">
        <v>77.11</v>
      </c>
      <c r="F577" s="51">
        <v>8423.9097750854489</v>
      </c>
    </row>
    <row r="578" spans="1:6" x14ac:dyDescent="0.25">
      <c r="A578" t="s">
        <v>666</v>
      </c>
      <c r="B578" t="s">
        <v>46</v>
      </c>
      <c r="C578">
        <v>362</v>
      </c>
      <c r="D578" s="51">
        <v>107.59999847412109</v>
      </c>
      <c r="E578">
        <v>133.22</v>
      </c>
      <c r="F578" s="51">
        <v>9274.4405523681635</v>
      </c>
    </row>
    <row r="579" spans="1:6" x14ac:dyDescent="0.25">
      <c r="A579" t="s">
        <v>667</v>
      </c>
      <c r="B579" t="s">
        <v>37</v>
      </c>
      <c r="C579">
        <v>634</v>
      </c>
      <c r="D579" s="51">
        <v>17.049999237060547</v>
      </c>
      <c r="E579">
        <v>13.35</v>
      </c>
      <c r="F579" s="51">
        <v>-2345.7995162963871</v>
      </c>
    </row>
    <row r="580" spans="1:6" x14ac:dyDescent="0.25">
      <c r="A580" t="s">
        <v>668</v>
      </c>
      <c r="B580" t="s">
        <v>37</v>
      </c>
      <c r="C580">
        <v>1000</v>
      </c>
      <c r="D580" s="51">
        <v>65.470001220703125</v>
      </c>
      <c r="E580">
        <v>53.02</v>
      </c>
      <c r="F580" s="51">
        <v>-12450.001220703121</v>
      </c>
    </row>
    <row r="581" spans="1:6" x14ac:dyDescent="0.25">
      <c r="A581" t="s">
        <v>669</v>
      </c>
      <c r="B581" t="s">
        <v>55</v>
      </c>
      <c r="C581">
        <v>104</v>
      </c>
      <c r="D581" s="51">
        <v>66.620002746582031</v>
      </c>
      <c r="E581">
        <v>63.85</v>
      </c>
      <c r="F581" s="51">
        <v>-288.0802856445311</v>
      </c>
    </row>
    <row r="582" spans="1:6" x14ac:dyDescent="0.25">
      <c r="A582" t="s">
        <v>670</v>
      </c>
      <c r="B582" t="s">
        <v>48</v>
      </c>
      <c r="C582">
        <v>169</v>
      </c>
      <c r="D582" s="51">
        <v>59.349998474121094</v>
      </c>
      <c r="E582">
        <v>60.38</v>
      </c>
      <c r="F582" s="51">
        <v>174.07025787353558</v>
      </c>
    </row>
    <row r="583" spans="1:6" x14ac:dyDescent="0.25">
      <c r="A583" t="s">
        <v>671</v>
      </c>
      <c r="B583" t="s">
        <v>55</v>
      </c>
      <c r="C583">
        <v>644</v>
      </c>
      <c r="D583" s="51">
        <v>15.430000305175781</v>
      </c>
      <c r="E583">
        <v>12.07</v>
      </c>
      <c r="F583" s="51">
        <v>-2163.8401965332027</v>
      </c>
    </row>
    <row r="584" spans="1:6" x14ac:dyDescent="0.25">
      <c r="A584" t="s">
        <v>672</v>
      </c>
      <c r="B584" t="s">
        <v>43</v>
      </c>
      <c r="C584">
        <v>92</v>
      </c>
      <c r="D584" s="51">
        <v>72.319999694824219</v>
      </c>
      <c r="E584">
        <v>91.55</v>
      </c>
      <c r="F584" s="51">
        <v>1769.1600280761716</v>
      </c>
    </row>
    <row r="585" spans="1:6" x14ac:dyDescent="0.25">
      <c r="A585" t="s">
        <v>673</v>
      </c>
      <c r="B585" t="s">
        <v>52</v>
      </c>
      <c r="C585">
        <v>330</v>
      </c>
      <c r="D585" s="51">
        <v>91.05999755859375</v>
      </c>
      <c r="E585">
        <v>114.51</v>
      </c>
      <c r="F585" s="51">
        <v>7738.5008056640645</v>
      </c>
    </row>
    <row r="586" spans="1:6" x14ac:dyDescent="0.25">
      <c r="A586" t="s">
        <v>674</v>
      </c>
      <c r="B586" t="s">
        <v>43</v>
      </c>
      <c r="C586">
        <v>821</v>
      </c>
      <c r="D586" s="51">
        <v>38.990001678466797</v>
      </c>
      <c r="E586">
        <v>48.04</v>
      </c>
      <c r="F586" s="51">
        <v>7430.048621978759</v>
      </c>
    </row>
    <row r="587" spans="1:6" x14ac:dyDescent="0.25">
      <c r="A587" t="s">
        <v>675</v>
      </c>
      <c r="B587" t="s">
        <v>48</v>
      </c>
      <c r="C587">
        <v>313</v>
      </c>
      <c r="D587" s="51">
        <v>97.650001525878906</v>
      </c>
      <c r="E587">
        <v>79.069999999999993</v>
      </c>
      <c r="F587" s="51">
        <v>-5815.5404776000996</v>
      </c>
    </row>
    <row r="588" spans="1:6" x14ac:dyDescent="0.25">
      <c r="A588" t="s">
        <v>676</v>
      </c>
      <c r="B588" t="s">
        <v>40</v>
      </c>
      <c r="C588">
        <v>734</v>
      </c>
      <c r="D588" s="51">
        <v>95.540000915527344</v>
      </c>
      <c r="E588">
        <v>111.3</v>
      </c>
      <c r="F588" s="51">
        <v>11567.839328002927</v>
      </c>
    </row>
    <row r="589" spans="1:6" x14ac:dyDescent="0.25">
      <c r="A589" t="s">
        <v>677</v>
      </c>
      <c r="B589" t="s">
        <v>52</v>
      </c>
      <c r="C589">
        <v>326</v>
      </c>
      <c r="D589" s="51">
        <v>65.94000244140625</v>
      </c>
      <c r="E589">
        <v>65.02</v>
      </c>
      <c r="F589" s="51">
        <v>-299.92079589843877</v>
      </c>
    </row>
    <row r="590" spans="1:6" x14ac:dyDescent="0.25">
      <c r="A590" t="s">
        <v>678</v>
      </c>
      <c r="B590" t="s">
        <v>43</v>
      </c>
      <c r="C590">
        <v>1039</v>
      </c>
      <c r="D590" s="51">
        <v>29.719999313354492</v>
      </c>
      <c r="E590">
        <v>29.27</v>
      </c>
      <c r="F590" s="51">
        <v>-467.54928657531781</v>
      </c>
    </row>
    <row r="591" spans="1:6" x14ac:dyDescent="0.25">
      <c r="A591" t="s">
        <v>679</v>
      </c>
      <c r="B591" t="s">
        <v>55</v>
      </c>
      <c r="C591">
        <v>176</v>
      </c>
      <c r="D591" s="51">
        <v>103.18000030517578</v>
      </c>
      <c r="E591">
        <v>77.95</v>
      </c>
      <c r="F591" s="51">
        <v>-4440.4800537109368</v>
      </c>
    </row>
    <row r="592" spans="1:6" x14ac:dyDescent="0.25">
      <c r="A592" t="s">
        <v>680</v>
      </c>
      <c r="B592" t="s">
        <v>40</v>
      </c>
      <c r="C592">
        <v>273</v>
      </c>
      <c r="D592" s="51">
        <v>30.829999923706055</v>
      </c>
      <c r="E592">
        <v>36.51</v>
      </c>
      <c r="F592" s="51">
        <v>1550.6400208282466</v>
      </c>
    </row>
    <row r="593" spans="1:6" x14ac:dyDescent="0.25">
      <c r="A593" t="s">
        <v>681</v>
      </c>
      <c r="B593" t="s">
        <v>37</v>
      </c>
      <c r="C593">
        <v>251</v>
      </c>
      <c r="D593" s="51">
        <v>43.220001220703125</v>
      </c>
      <c r="E593">
        <v>43.6</v>
      </c>
      <c r="F593" s="51">
        <v>95.379693603515989</v>
      </c>
    </row>
    <row r="594" spans="1:6" x14ac:dyDescent="0.25">
      <c r="A594" t="s">
        <v>682</v>
      </c>
      <c r="B594" t="s">
        <v>96</v>
      </c>
      <c r="C594">
        <v>798</v>
      </c>
      <c r="D594" s="51">
        <v>39.740001678466797</v>
      </c>
      <c r="E594">
        <v>28.92</v>
      </c>
      <c r="F594" s="51">
        <v>-8634.3613394165022</v>
      </c>
    </row>
    <row r="595" spans="1:6" x14ac:dyDescent="0.25">
      <c r="A595" t="s">
        <v>683</v>
      </c>
      <c r="B595" t="s">
        <v>48</v>
      </c>
      <c r="C595">
        <v>1016</v>
      </c>
      <c r="D595" s="51">
        <v>96.449996948242188</v>
      </c>
      <c r="E595">
        <v>121.44</v>
      </c>
      <c r="F595" s="51">
        <v>25389.843100585935</v>
      </c>
    </row>
    <row r="596" spans="1:6" x14ac:dyDescent="0.25">
      <c r="A596" t="s">
        <v>684</v>
      </c>
      <c r="B596" t="s">
        <v>43</v>
      </c>
      <c r="C596">
        <v>307</v>
      </c>
      <c r="D596" s="51">
        <v>98.879997253417969</v>
      </c>
      <c r="E596">
        <v>94.06</v>
      </c>
      <c r="F596" s="51">
        <v>-1479.7391567993157</v>
      </c>
    </row>
    <row r="597" spans="1:6" x14ac:dyDescent="0.25">
      <c r="A597" t="s">
        <v>685</v>
      </c>
      <c r="B597" t="s">
        <v>46</v>
      </c>
      <c r="C597">
        <v>515</v>
      </c>
      <c r="D597" s="51">
        <v>99.849998474121094</v>
      </c>
      <c r="E597">
        <v>113.92</v>
      </c>
      <c r="F597" s="51">
        <v>7246.0507858276378</v>
      </c>
    </row>
    <row r="598" spans="1:6" x14ac:dyDescent="0.25">
      <c r="A598" t="s">
        <v>686</v>
      </c>
      <c r="B598" t="s">
        <v>40</v>
      </c>
      <c r="C598">
        <v>319</v>
      </c>
      <c r="D598" s="51">
        <v>102.26000213623047</v>
      </c>
      <c r="E598">
        <v>108.71</v>
      </c>
      <c r="F598" s="51">
        <v>2057.5493185424784</v>
      </c>
    </row>
    <row r="599" spans="1:6" x14ac:dyDescent="0.25">
      <c r="A599" t="s">
        <v>687</v>
      </c>
      <c r="B599" t="s">
        <v>48</v>
      </c>
      <c r="C599">
        <v>870</v>
      </c>
      <c r="D599" s="51">
        <v>66.930000305175781</v>
      </c>
      <c r="E599">
        <v>47.56</v>
      </c>
      <c r="F599" s="51">
        <v>-16851.900265502929</v>
      </c>
    </row>
    <row r="600" spans="1:6" x14ac:dyDescent="0.25">
      <c r="A600" t="s">
        <v>688</v>
      </c>
      <c r="B600" t="s">
        <v>46</v>
      </c>
      <c r="C600">
        <v>683</v>
      </c>
      <c r="D600" s="51">
        <v>45.409999847412109</v>
      </c>
      <c r="E600">
        <v>38.29</v>
      </c>
      <c r="F600" s="51">
        <v>-4862.959895782471</v>
      </c>
    </row>
    <row r="601" spans="1:6" x14ac:dyDescent="0.25">
      <c r="A601" t="s">
        <v>689</v>
      </c>
      <c r="B601" t="s">
        <v>43</v>
      </c>
      <c r="C601">
        <v>780</v>
      </c>
      <c r="D601" s="51">
        <v>37.779998779296875</v>
      </c>
      <c r="E601">
        <v>28.22</v>
      </c>
      <c r="F601" s="51">
        <v>-7456.799047851563</v>
      </c>
    </row>
    <row r="602" spans="1:6" x14ac:dyDescent="0.25">
      <c r="A602" t="s">
        <v>690</v>
      </c>
      <c r="B602" t="s">
        <v>37</v>
      </c>
      <c r="C602">
        <v>75</v>
      </c>
      <c r="D602" s="51">
        <v>75.470001220703125</v>
      </c>
      <c r="E602">
        <v>71.2</v>
      </c>
      <c r="F602" s="51">
        <v>-320.25009155273415</v>
      </c>
    </row>
    <row r="603" spans="1:6" x14ac:dyDescent="0.25">
      <c r="A603" t="s">
        <v>691</v>
      </c>
      <c r="B603" t="s">
        <v>96</v>
      </c>
      <c r="C603">
        <v>1023</v>
      </c>
      <c r="D603" s="51">
        <v>29.059999465942383</v>
      </c>
      <c r="E603">
        <v>36.32</v>
      </c>
      <c r="F603" s="51">
        <v>7426.980546340943</v>
      </c>
    </row>
    <row r="604" spans="1:6" x14ac:dyDescent="0.25">
      <c r="A604" t="s">
        <v>692</v>
      </c>
      <c r="B604" t="s">
        <v>46</v>
      </c>
      <c r="C604">
        <v>500</v>
      </c>
      <c r="D604" s="51">
        <v>41.119998931884766</v>
      </c>
      <c r="E604">
        <v>32.380000000000003</v>
      </c>
      <c r="F604" s="51">
        <v>-4369.9994659423819</v>
      </c>
    </row>
    <row r="605" spans="1:6" x14ac:dyDescent="0.25">
      <c r="A605" t="s">
        <v>693</v>
      </c>
      <c r="B605" t="s">
        <v>37</v>
      </c>
      <c r="C605">
        <v>954</v>
      </c>
      <c r="D605" s="51">
        <v>83.980003356933594</v>
      </c>
      <c r="E605">
        <v>95.89</v>
      </c>
      <c r="F605" s="51">
        <v>11362.136797485353</v>
      </c>
    </row>
    <row r="606" spans="1:6" x14ac:dyDescent="0.25">
      <c r="A606" t="s">
        <v>694</v>
      </c>
      <c r="B606" t="s">
        <v>96</v>
      </c>
      <c r="C606">
        <v>790</v>
      </c>
      <c r="D606" s="51">
        <v>42.590000152587891</v>
      </c>
      <c r="E606">
        <v>54.14</v>
      </c>
      <c r="F606" s="51">
        <v>9124.4998794555668</v>
      </c>
    </row>
    <row r="607" spans="1:6" x14ac:dyDescent="0.25">
      <c r="A607" t="s">
        <v>695</v>
      </c>
      <c r="B607" t="s">
        <v>55</v>
      </c>
      <c r="C607">
        <v>1009</v>
      </c>
      <c r="D607" s="51">
        <v>22.309999465942383</v>
      </c>
      <c r="E607">
        <v>21.57</v>
      </c>
      <c r="F607" s="51">
        <v>-746.65946113586392</v>
      </c>
    </row>
    <row r="608" spans="1:6" x14ac:dyDescent="0.25">
      <c r="A608" t="s">
        <v>696</v>
      </c>
      <c r="B608" t="s">
        <v>105</v>
      </c>
      <c r="C608">
        <v>105</v>
      </c>
      <c r="D608" s="51">
        <v>81.699996948242188</v>
      </c>
      <c r="E608">
        <v>70.39</v>
      </c>
      <c r="F608" s="51">
        <v>-1187.5496795654296</v>
      </c>
    </row>
    <row r="609" spans="1:6" x14ac:dyDescent="0.25">
      <c r="A609" t="s">
        <v>697</v>
      </c>
      <c r="B609" t="s">
        <v>55</v>
      </c>
      <c r="C609">
        <v>199</v>
      </c>
      <c r="D609" s="51">
        <v>90.379997253417969</v>
      </c>
      <c r="E609">
        <v>71.430000000000007</v>
      </c>
      <c r="F609" s="51">
        <v>-3771.0494534301743</v>
      </c>
    </row>
    <row r="610" spans="1:6" x14ac:dyDescent="0.25">
      <c r="A610" t="s">
        <v>698</v>
      </c>
      <c r="B610" t="s">
        <v>90</v>
      </c>
      <c r="C610">
        <v>434</v>
      </c>
      <c r="D610" s="51">
        <v>11.810000419616699</v>
      </c>
      <c r="E610">
        <v>15.33</v>
      </c>
      <c r="F610" s="51">
        <v>1527.6798178863526</v>
      </c>
    </row>
    <row r="611" spans="1:6" x14ac:dyDescent="0.25">
      <c r="A611" t="s">
        <v>699</v>
      </c>
      <c r="B611" t="s">
        <v>43</v>
      </c>
      <c r="C611">
        <v>614</v>
      </c>
      <c r="D611" s="51">
        <v>11.109999656677246</v>
      </c>
      <c r="E611">
        <v>12.23</v>
      </c>
      <c r="F611" s="51">
        <v>687.68021080017115</v>
      </c>
    </row>
    <row r="612" spans="1:6" x14ac:dyDescent="0.25">
      <c r="A612" t="s">
        <v>700</v>
      </c>
      <c r="B612" t="s">
        <v>48</v>
      </c>
      <c r="C612">
        <v>95</v>
      </c>
      <c r="D612" s="51">
        <v>87.870002746582031</v>
      </c>
      <c r="E612">
        <v>113.58</v>
      </c>
      <c r="F612" s="51">
        <v>2442.4497390747069</v>
      </c>
    </row>
    <row r="613" spans="1:6" x14ac:dyDescent="0.25">
      <c r="A613" t="s">
        <v>701</v>
      </c>
      <c r="B613" t="s">
        <v>90</v>
      </c>
      <c r="C613">
        <v>924</v>
      </c>
      <c r="D613" s="51">
        <v>33.950000762939453</v>
      </c>
      <c r="E613">
        <v>24.02</v>
      </c>
      <c r="F613" s="51">
        <v>-9175.3207049560551</v>
      </c>
    </row>
    <row r="614" spans="1:6" x14ac:dyDescent="0.25">
      <c r="A614" t="s">
        <v>702</v>
      </c>
      <c r="B614" t="s">
        <v>105</v>
      </c>
      <c r="C614">
        <v>232</v>
      </c>
      <c r="D614" s="51">
        <v>16.350000381469727</v>
      </c>
      <c r="E614">
        <v>16.8</v>
      </c>
      <c r="F614" s="51">
        <v>104.3999114990236</v>
      </c>
    </row>
    <row r="615" spans="1:6" x14ac:dyDescent="0.25">
      <c r="A615" t="s">
        <v>703</v>
      </c>
      <c r="B615" t="s">
        <v>52</v>
      </c>
      <c r="C615">
        <v>874</v>
      </c>
      <c r="D615" s="51">
        <v>84.930000305175781</v>
      </c>
      <c r="E615">
        <v>105.49</v>
      </c>
      <c r="F615" s="51">
        <v>17969.439733276362</v>
      </c>
    </row>
    <row r="616" spans="1:6" x14ac:dyDescent="0.25">
      <c r="A616" t="s">
        <v>704</v>
      </c>
      <c r="B616" t="s">
        <v>48</v>
      </c>
      <c r="C616">
        <v>318</v>
      </c>
      <c r="D616" s="51">
        <v>105.31999969482422</v>
      </c>
      <c r="E616">
        <v>132.47999999999999</v>
      </c>
      <c r="F616" s="51">
        <v>8636.880097045896</v>
      </c>
    </row>
    <row r="617" spans="1:6" x14ac:dyDescent="0.25">
      <c r="A617" t="s">
        <v>705</v>
      </c>
      <c r="B617" t="s">
        <v>40</v>
      </c>
      <c r="C617">
        <v>789</v>
      </c>
      <c r="D617" s="51">
        <v>16.639999389648438</v>
      </c>
      <c r="E617">
        <v>14.28</v>
      </c>
      <c r="F617" s="51">
        <v>-1862.0395184326178</v>
      </c>
    </row>
    <row r="618" spans="1:6" x14ac:dyDescent="0.25">
      <c r="A618" t="s">
        <v>706</v>
      </c>
      <c r="B618" t="s">
        <v>90</v>
      </c>
      <c r="C618">
        <v>655</v>
      </c>
      <c r="D618" s="51">
        <v>14.390000343322754</v>
      </c>
      <c r="E618">
        <v>17.420000000000002</v>
      </c>
      <c r="F618" s="51">
        <v>1984.6497751235972</v>
      </c>
    </row>
    <row r="619" spans="1:6" x14ac:dyDescent="0.25">
      <c r="A619" t="s">
        <v>707</v>
      </c>
      <c r="B619" t="s">
        <v>105</v>
      </c>
      <c r="C619">
        <v>72</v>
      </c>
      <c r="D619" s="51">
        <v>58.220001220703125</v>
      </c>
      <c r="E619">
        <v>65.81</v>
      </c>
      <c r="F619" s="51">
        <v>546.47991210937516</v>
      </c>
    </row>
    <row r="620" spans="1:6" x14ac:dyDescent="0.25">
      <c r="A620" t="s">
        <v>708</v>
      </c>
      <c r="B620" t="s">
        <v>90</v>
      </c>
      <c r="C620">
        <v>873</v>
      </c>
      <c r="D620" s="51">
        <v>104.76000213623047</v>
      </c>
      <c r="E620">
        <v>134.62</v>
      </c>
      <c r="F620" s="51">
        <v>26067.778135070806</v>
      </c>
    </row>
    <row r="621" spans="1:6" x14ac:dyDescent="0.25">
      <c r="A621" t="s">
        <v>709</v>
      </c>
      <c r="B621" t="s">
        <v>48</v>
      </c>
      <c r="C621">
        <v>705</v>
      </c>
      <c r="D621" s="51">
        <v>65.400001525878906</v>
      </c>
      <c r="E621">
        <v>49.49</v>
      </c>
      <c r="F621" s="51">
        <v>-11216.551075744628</v>
      </c>
    </row>
    <row r="622" spans="1:6" x14ac:dyDescent="0.25">
      <c r="A622" t="s">
        <v>710</v>
      </c>
      <c r="B622" t="s">
        <v>52</v>
      </c>
      <c r="C622">
        <v>427</v>
      </c>
      <c r="D622" s="51">
        <v>89.150001525878906</v>
      </c>
      <c r="E622">
        <v>84.77</v>
      </c>
      <c r="F622" s="51">
        <v>-1870.2606515502946</v>
      </c>
    </row>
    <row r="623" spans="1:6" x14ac:dyDescent="0.25">
      <c r="A623" t="s">
        <v>711</v>
      </c>
      <c r="B623" t="s">
        <v>55</v>
      </c>
      <c r="C623">
        <v>746</v>
      </c>
      <c r="D623" s="51">
        <v>70.44000244140625</v>
      </c>
      <c r="E623">
        <v>88.45</v>
      </c>
      <c r="F623" s="51">
        <v>13435.45817871094</v>
      </c>
    </row>
    <row r="624" spans="1:6" x14ac:dyDescent="0.25">
      <c r="A624" t="s">
        <v>712</v>
      </c>
      <c r="B624" t="s">
        <v>40</v>
      </c>
      <c r="C624">
        <v>105</v>
      </c>
      <c r="D624" s="51">
        <v>81.889999389648438</v>
      </c>
      <c r="E624">
        <v>69.7</v>
      </c>
      <c r="F624" s="51">
        <v>-1279.9499359130857</v>
      </c>
    </row>
    <row r="625" spans="1:6" x14ac:dyDescent="0.25">
      <c r="A625" t="s">
        <v>713</v>
      </c>
      <c r="B625" t="s">
        <v>105</v>
      </c>
      <c r="C625">
        <v>832</v>
      </c>
      <c r="D625" s="51">
        <v>32.180000305175781</v>
      </c>
      <c r="E625">
        <v>40.82</v>
      </c>
      <c r="F625" s="51">
        <v>7188.4797460937498</v>
      </c>
    </row>
    <row r="626" spans="1:6" x14ac:dyDescent="0.25">
      <c r="A626" t="s">
        <v>714</v>
      </c>
      <c r="B626" t="s">
        <v>48</v>
      </c>
      <c r="C626">
        <v>520</v>
      </c>
      <c r="D626" s="51">
        <v>48.830001831054688</v>
      </c>
      <c r="E626">
        <v>63.48</v>
      </c>
      <c r="F626" s="51">
        <v>7617.999047851561</v>
      </c>
    </row>
    <row r="627" spans="1:6" x14ac:dyDescent="0.25">
      <c r="A627" t="s">
        <v>715</v>
      </c>
      <c r="B627" t="s">
        <v>105</v>
      </c>
      <c r="C627">
        <v>678</v>
      </c>
      <c r="D627" s="51">
        <v>86.019996643066406</v>
      </c>
      <c r="E627">
        <v>90.99</v>
      </c>
      <c r="F627" s="51">
        <v>3369.6622760009732</v>
      </c>
    </row>
    <row r="628" spans="1:6" x14ac:dyDescent="0.25">
      <c r="A628" t="s">
        <v>716</v>
      </c>
      <c r="B628" t="s">
        <v>37</v>
      </c>
      <c r="C628">
        <v>614</v>
      </c>
      <c r="D628" s="51">
        <v>57.409999847412109</v>
      </c>
      <c r="E628">
        <v>44.99</v>
      </c>
      <c r="F628" s="51">
        <v>-7625.8799063110337</v>
      </c>
    </row>
    <row r="629" spans="1:6" x14ac:dyDescent="0.25">
      <c r="A629" t="s">
        <v>717</v>
      </c>
      <c r="B629" t="s">
        <v>55</v>
      </c>
      <c r="C629">
        <v>579</v>
      </c>
      <c r="D629" s="51">
        <v>93.94000244140625</v>
      </c>
      <c r="E629">
        <v>94.71</v>
      </c>
      <c r="F629" s="51">
        <v>445.82858642577764</v>
      </c>
    </row>
    <row r="630" spans="1:6" x14ac:dyDescent="0.25">
      <c r="A630" t="s">
        <v>718</v>
      </c>
      <c r="B630" t="s">
        <v>48</v>
      </c>
      <c r="C630">
        <v>157</v>
      </c>
      <c r="D630" s="51">
        <v>26.629999160766602</v>
      </c>
      <c r="E630">
        <v>28.24</v>
      </c>
      <c r="F630" s="51">
        <v>252.77013175964331</v>
      </c>
    </row>
    <row r="631" spans="1:6" x14ac:dyDescent="0.25">
      <c r="A631" t="s">
        <v>719</v>
      </c>
      <c r="B631" t="s">
        <v>43</v>
      </c>
      <c r="C631">
        <v>906</v>
      </c>
      <c r="D631" s="51">
        <v>94.44000244140625</v>
      </c>
      <c r="E631">
        <v>68.599999999999994</v>
      </c>
      <c r="F631" s="51">
        <v>-23411.042211914068</v>
      </c>
    </row>
    <row r="632" spans="1:6" x14ac:dyDescent="0.25">
      <c r="A632" t="s">
        <v>720</v>
      </c>
      <c r="B632" t="s">
        <v>55</v>
      </c>
      <c r="C632">
        <v>247</v>
      </c>
      <c r="D632" s="51">
        <v>77.040000915527344</v>
      </c>
      <c r="E632">
        <v>66.25</v>
      </c>
      <c r="F632" s="51">
        <v>-2665.1302261352539</v>
      </c>
    </row>
    <row r="633" spans="1:6" x14ac:dyDescent="0.25">
      <c r="A633" t="s">
        <v>721</v>
      </c>
      <c r="B633" t="s">
        <v>43</v>
      </c>
      <c r="C633">
        <v>608</v>
      </c>
      <c r="D633" s="51">
        <v>52.619998931884766</v>
      </c>
      <c r="E633">
        <v>60.02</v>
      </c>
      <c r="F633" s="51">
        <v>4499.2006494140642</v>
      </c>
    </row>
    <row r="634" spans="1:6" x14ac:dyDescent="0.25">
      <c r="A634" t="s">
        <v>722</v>
      </c>
      <c r="B634" t="s">
        <v>105</v>
      </c>
      <c r="C634">
        <v>810</v>
      </c>
      <c r="D634" s="51">
        <v>80.75</v>
      </c>
      <c r="E634">
        <v>79.48</v>
      </c>
      <c r="F634" s="51">
        <v>-1028.6999999999969</v>
      </c>
    </row>
    <row r="635" spans="1:6" x14ac:dyDescent="0.25">
      <c r="A635" t="s">
        <v>723</v>
      </c>
      <c r="B635" t="s">
        <v>37</v>
      </c>
      <c r="C635">
        <v>713</v>
      </c>
      <c r="D635" s="51">
        <v>10.140000343322754</v>
      </c>
      <c r="E635">
        <v>12.18</v>
      </c>
      <c r="F635" s="51">
        <v>1454.5197552108762</v>
      </c>
    </row>
    <row r="636" spans="1:6" x14ac:dyDescent="0.25">
      <c r="A636" t="s">
        <v>724</v>
      </c>
      <c r="B636" t="s">
        <v>52</v>
      </c>
      <c r="C636">
        <v>101</v>
      </c>
      <c r="D636" s="51">
        <v>11.460000038146973</v>
      </c>
      <c r="E636">
        <v>11.54</v>
      </c>
      <c r="F636" s="51">
        <v>8.0799961471556756</v>
      </c>
    </row>
    <row r="637" spans="1:6" x14ac:dyDescent="0.25">
      <c r="A637" t="s">
        <v>725</v>
      </c>
      <c r="B637" t="s">
        <v>40</v>
      </c>
      <c r="C637">
        <v>828</v>
      </c>
      <c r="D637" s="51">
        <v>35.200000762939453</v>
      </c>
      <c r="E637">
        <v>41.56</v>
      </c>
      <c r="F637" s="51">
        <v>5266.0793682861349</v>
      </c>
    </row>
    <row r="638" spans="1:6" x14ac:dyDescent="0.25">
      <c r="A638" t="s">
        <v>726</v>
      </c>
      <c r="B638" t="s">
        <v>96</v>
      </c>
      <c r="C638">
        <v>203</v>
      </c>
      <c r="D638" s="51">
        <v>94.410003662109375</v>
      </c>
      <c r="E638">
        <v>73.099999999999994</v>
      </c>
      <c r="F638" s="51">
        <v>-4325.9307434082039</v>
      </c>
    </row>
    <row r="639" spans="1:6" x14ac:dyDescent="0.25">
      <c r="A639" t="s">
        <v>727</v>
      </c>
      <c r="B639" t="s">
        <v>96</v>
      </c>
      <c r="C639">
        <v>636</v>
      </c>
      <c r="D639" s="51">
        <v>72.569999694824219</v>
      </c>
      <c r="E639">
        <v>85.11</v>
      </c>
      <c r="F639" s="51">
        <v>7975.4401940917969</v>
      </c>
    </row>
    <row r="640" spans="1:6" x14ac:dyDescent="0.25">
      <c r="A640" t="s">
        <v>728</v>
      </c>
      <c r="B640" t="s">
        <v>43</v>
      </c>
      <c r="C640">
        <v>525</v>
      </c>
      <c r="D640" s="51">
        <v>56.389999389648438</v>
      </c>
      <c r="E640">
        <v>39.64</v>
      </c>
      <c r="F640" s="51">
        <v>-8793.7496795654297</v>
      </c>
    </row>
    <row r="641" spans="1:6" x14ac:dyDescent="0.25">
      <c r="A641" t="s">
        <v>729</v>
      </c>
      <c r="B641" t="s">
        <v>40</v>
      </c>
      <c r="C641">
        <v>399</v>
      </c>
      <c r="D641" s="51">
        <v>93.599998474121094</v>
      </c>
      <c r="E641">
        <v>74.25</v>
      </c>
      <c r="F641" s="51">
        <v>-7720.6493911743164</v>
      </c>
    </row>
    <row r="642" spans="1:6" x14ac:dyDescent="0.25">
      <c r="A642" t="s">
        <v>730</v>
      </c>
      <c r="B642" t="s">
        <v>40</v>
      </c>
      <c r="C642">
        <v>307</v>
      </c>
      <c r="D642" s="51">
        <v>75.790000915527344</v>
      </c>
      <c r="E642">
        <v>66.900000000000006</v>
      </c>
      <c r="F642" s="51">
        <v>-2729.230281066893</v>
      </c>
    </row>
    <row r="643" spans="1:6" x14ac:dyDescent="0.25">
      <c r="A643" t="s">
        <v>731</v>
      </c>
      <c r="B643" t="s">
        <v>40</v>
      </c>
      <c r="C643">
        <v>458</v>
      </c>
      <c r="D643" s="51">
        <v>46.189998626708984</v>
      </c>
      <c r="E643">
        <v>59.13</v>
      </c>
      <c r="F643" s="51">
        <v>5926.520628967286</v>
      </c>
    </row>
    <row r="644" spans="1:6" x14ac:dyDescent="0.25">
      <c r="A644" t="s">
        <v>732</v>
      </c>
      <c r="B644" t="s">
        <v>52</v>
      </c>
      <c r="C644">
        <v>115</v>
      </c>
      <c r="D644" s="51">
        <v>32.529998779296875</v>
      </c>
      <c r="E644">
        <v>25.2</v>
      </c>
      <c r="F644" s="51">
        <v>-842.94985961914074</v>
      </c>
    </row>
    <row r="645" spans="1:6" x14ac:dyDescent="0.25">
      <c r="A645" t="s">
        <v>733</v>
      </c>
      <c r="B645" t="s">
        <v>96</v>
      </c>
      <c r="C645">
        <v>732</v>
      </c>
      <c r="D645" s="51">
        <v>104.80000305175781</v>
      </c>
      <c r="E645">
        <v>104.08</v>
      </c>
      <c r="F645" s="51">
        <v>-527.04223388671994</v>
      </c>
    </row>
    <row r="646" spans="1:6" x14ac:dyDescent="0.25">
      <c r="A646" t="s">
        <v>734</v>
      </c>
      <c r="B646" t="s">
        <v>40</v>
      </c>
      <c r="C646">
        <v>345</v>
      </c>
      <c r="D646" s="51">
        <v>58.110000610351563</v>
      </c>
      <c r="E646">
        <v>41.36</v>
      </c>
      <c r="F646" s="51">
        <v>-5778.7502105712892</v>
      </c>
    </row>
    <row r="647" spans="1:6" x14ac:dyDescent="0.25">
      <c r="A647" t="s">
        <v>735</v>
      </c>
      <c r="B647" t="s">
        <v>90</v>
      </c>
      <c r="C647">
        <v>216</v>
      </c>
      <c r="D647" s="51">
        <v>20.450000762939453</v>
      </c>
      <c r="E647">
        <v>22.77</v>
      </c>
      <c r="F647" s="51">
        <v>501.11983520507806</v>
      </c>
    </row>
    <row r="648" spans="1:6" x14ac:dyDescent="0.25">
      <c r="A648" t="s">
        <v>736</v>
      </c>
      <c r="B648" t="s">
        <v>52</v>
      </c>
      <c r="C648">
        <v>720</v>
      </c>
      <c r="D648" s="51">
        <v>85.580001831054688</v>
      </c>
      <c r="E648">
        <v>85.51</v>
      </c>
      <c r="F648" s="51">
        <v>-50.401318359371317</v>
      </c>
    </row>
    <row r="649" spans="1:6" x14ac:dyDescent="0.25">
      <c r="A649" t="s">
        <v>737</v>
      </c>
      <c r="B649" t="s">
        <v>96</v>
      </c>
      <c r="C649">
        <v>486</v>
      </c>
      <c r="D649" s="51">
        <v>70.739997863769531</v>
      </c>
      <c r="E649">
        <v>81</v>
      </c>
      <c r="F649" s="51">
        <v>4986.3610382080078</v>
      </c>
    </row>
    <row r="650" spans="1:6" x14ac:dyDescent="0.25">
      <c r="A650" t="s">
        <v>738</v>
      </c>
      <c r="B650" t="s">
        <v>37</v>
      </c>
      <c r="C650">
        <v>791</v>
      </c>
      <c r="D650" s="51">
        <v>99.55999755859375</v>
      </c>
      <c r="E650">
        <v>100.93</v>
      </c>
      <c r="F650" s="51">
        <v>1083.6719311523491</v>
      </c>
    </row>
    <row r="651" spans="1:6" x14ac:dyDescent="0.25">
      <c r="A651" t="s">
        <v>739</v>
      </c>
      <c r="B651" t="s">
        <v>37</v>
      </c>
      <c r="C651">
        <v>195</v>
      </c>
      <c r="D651" s="51">
        <v>109.80999755859375</v>
      </c>
      <c r="E651">
        <v>111.22</v>
      </c>
      <c r="F651" s="51">
        <v>274.9504760742185</v>
      </c>
    </row>
    <row r="652" spans="1:6" x14ac:dyDescent="0.25">
      <c r="A652" t="s">
        <v>740</v>
      </c>
      <c r="B652" t="s">
        <v>48</v>
      </c>
      <c r="C652">
        <v>437</v>
      </c>
      <c r="D652" s="51">
        <v>86.239997863769531</v>
      </c>
      <c r="E652">
        <v>60.74</v>
      </c>
      <c r="F652" s="51">
        <v>-11143.499066467284</v>
      </c>
    </row>
    <row r="653" spans="1:6" x14ac:dyDescent="0.25">
      <c r="A653" t="s">
        <v>741</v>
      </c>
      <c r="B653" t="s">
        <v>90</v>
      </c>
      <c r="C653">
        <v>573</v>
      </c>
      <c r="D653" s="51">
        <v>18.370000839233398</v>
      </c>
      <c r="E653">
        <v>14.04</v>
      </c>
      <c r="F653" s="51">
        <v>-2481.0904808807377</v>
      </c>
    </row>
    <row r="654" spans="1:6" x14ac:dyDescent="0.25">
      <c r="A654" t="s">
        <v>742</v>
      </c>
      <c r="B654" t="s">
        <v>55</v>
      </c>
      <c r="C654">
        <v>366</v>
      </c>
      <c r="D654" s="51">
        <v>83.349998474121094</v>
      </c>
      <c r="E654">
        <v>74.290000000000006</v>
      </c>
      <c r="F654" s="51">
        <v>-3315.9594415283182</v>
      </c>
    </row>
    <row r="655" spans="1:6" x14ac:dyDescent="0.25">
      <c r="A655" t="s">
        <v>743</v>
      </c>
      <c r="B655" t="s">
        <v>105</v>
      </c>
      <c r="C655">
        <v>929</v>
      </c>
      <c r="D655" s="51">
        <v>53.709999084472656</v>
      </c>
      <c r="E655">
        <v>46.61</v>
      </c>
      <c r="F655" s="51">
        <v>-6595.8991494750981</v>
      </c>
    </row>
    <row r="656" spans="1:6" x14ac:dyDescent="0.25">
      <c r="A656" t="s">
        <v>744</v>
      </c>
      <c r="B656" t="s">
        <v>90</v>
      </c>
      <c r="C656">
        <v>614</v>
      </c>
      <c r="D656" s="51">
        <v>30.209999084472656</v>
      </c>
      <c r="E656">
        <v>35.26</v>
      </c>
      <c r="F656" s="51">
        <v>3100.700562133788</v>
      </c>
    </row>
    <row r="657" spans="1:6" x14ac:dyDescent="0.25">
      <c r="A657" t="s">
        <v>745</v>
      </c>
      <c r="B657" t="s">
        <v>46</v>
      </c>
      <c r="C657">
        <v>151</v>
      </c>
      <c r="D657" s="51">
        <v>99.660003662109375</v>
      </c>
      <c r="E657">
        <v>71.239999999999995</v>
      </c>
      <c r="F657" s="51">
        <v>-4291.4205529785168</v>
      </c>
    </row>
    <row r="658" spans="1:6" x14ac:dyDescent="0.25">
      <c r="A658" t="s">
        <v>746</v>
      </c>
      <c r="B658" t="s">
        <v>105</v>
      </c>
      <c r="C658">
        <v>1043</v>
      </c>
      <c r="D658" s="51">
        <v>17.690000534057617</v>
      </c>
      <c r="E658">
        <v>14.09</v>
      </c>
      <c r="F658" s="51">
        <v>-3754.8005570220948</v>
      </c>
    </row>
    <row r="659" spans="1:6" x14ac:dyDescent="0.25">
      <c r="A659" t="s">
        <v>747</v>
      </c>
      <c r="B659" t="s">
        <v>40</v>
      </c>
      <c r="C659">
        <v>204</v>
      </c>
      <c r="D659" s="51">
        <v>16.610000610351563</v>
      </c>
      <c r="E659">
        <v>11.93</v>
      </c>
      <c r="F659" s="51">
        <v>-954.72012451171884</v>
      </c>
    </row>
    <row r="660" spans="1:6" x14ac:dyDescent="0.25">
      <c r="A660" t="s">
        <v>748</v>
      </c>
      <c r="B660" t="s">
        <v>105</v>
      </c>
      <c r="C660">
        <v>848</v>
      </c>
      <c r="D660" s="51">
        <v>38.209999084472656</v>
      </c>
      <c r="E660">
        <v>31.15</v>
      </c>
      <c r="F660" s="51">
        <v>-5986.8792236328136</v>
      </c>
    </row>
    <row r="661" spans="1:6" x14ac:dyDescent="0.25">
      <c r="A661" t="s">
        <v>749</v>
      </c>
      <c r="B661" t="s">
        <v>37</v>
      </c>
      <c r="C661">
        <v>631</v>
      </c>
      <c r="D661" s="51">
        <v>91.540000915527344</v>
      </c>
      <c r="E661">
        <v>74.349999999999994</v>
      </c>
      <c r="F661" s="51">
        <v>-10846.890577697757</v>
      </c>
    </row>
    <row r="662" spans="1:6" x14ac:dyDescent="0.25">
      <c r="A662" t="s">
        <v>750</v>
      </c>
      <c r="B662" t="s">
        <v>40</v>
      </c>
      <c r="C662">
        <v>1046</v>
      </c>
      <c r="D662" s="51">
        <v>35.770000457763672</v>
      </c>
      <c r="E662">
        <v>26.17</v>
      </c>
      <c r="F662" s="51">
        <v>-10041.600478820799</v>
      </c>
    </row>
    <row r="663" spans="1:6" x14ac:dyDescent="0.25">
      <c r="A663" t="s">
        <v>751</v>
      </c>
      <c r="B663" t="s">
        <v>55</v>
      </c>
      <c r="C663">
        <v>55</v>
      </c>
      <c r="D663" s="51">
        <v>87.970001220703125</v>
      </c>
      <c r="E663">
        <v>66.31</v>
      </c>
      <c r="F663" s="51">
        <v>-1191.3000671386717</v>
      </c>
    </row>
    <row r="664" spans="1:6" x14ac:dyDescent="0.25">
      <c r="A664" t="s">
        <v>752</v>
      </c>
      <c r="B664" t="s">
        <v>96</v>
      </c>
      <c r="C664">
        <v>987</v>
      </c>
      <c r="D664" s="51">
        <v>55.930000305175781</v>
      </c>
      <c r="E664">
        <v>68.56</v>
      </c>
      <c r="F664" s="51">
        <v>12465.809698791507</v>
      </c>
    </row>
    <row r="665" spans="1:6" x14ac:dyDescent="0.25">
      <c r="A665" t="s">
        <v>753</v>
      </c>
      <c r="B665" t="s">
        <v>48</v>
      </c>
      <c r="C665">
        <v>674</v>
      </c>
      <c r="D665" s="51">
        <v>95.980003356933594</v>
      </c>
      <c r="E665">
        <v>98.01</v>
      </c>
      <c r="F665" s="51">
        <v>1368.2177374267612</v>
      </c>
    </row>
    <row r="666" spans="1:6" x14ac:dyDescent="0.25">
      <c r="A666" t="s">
        <v>754</v>
      </c>
      <c r="B666" t="s">
        <v>37</v>
      </c>
      <c r="C666">
        <v>846</v>
      </c>
      <c r="D666" s="51">
        <v>95.800003051757813</v>
      </c>
      <c r="E666">
        <v>81.37</v>
      </c>
      <c r="F666" s="51">
        <v>-12207.782581787105</v>
      </c>
    </row>
    <row r="667" spans="1:6" x14ac:dyDescent="0.25">
      <c r="A667" t="s">
        <v>755</v>
      </c>
      <c r="B667" t="s">
        <v>37</v>
      </c>
      <c r="C667">
        <v>767</v>
      </c>
      <c r="D667" s="51">
        <v>82.230003356933594</v>
      </c>
      <c r="E667">
        <v>58.77</v>
      </c>
      <c r="F667" s="51">
        <v>-17993.822574768063</v>
      </c>
    </row>
    <row r="668" spans="1:6" x14ac:dyDescent="0.25">
      <c r="A668" t="s">
        <v>756</v>
      </c>
      <c r="B668" t="s">
        <v>90</v>
      </c>
      <c r="C668">
        <v>129</v>
      </c>
      <c r="D668" s="51">
        <v>54.080001831054688</v>
      </c>
      <c r="E668">
        <v>60.9</v>
      </c>
      <c r="F668" s="51">
        <v>879.77976379394511</v>
      </c>
    </row>
    <row r="669" spans="1:6" x14ac:dyDescent="0.25">
      <c r="A669" t="s">
        <v>757</v>
      </c>
      <c r="B669" t="s">
        <v>40</v>
      </c>
      <c r="C669">
        <v>190</v>
      </c>
      <c r="D669" s="51">
        <v>39.930000305175781</v>
      </c>
      <c r="E669">
        <v>34.200000000000003</v>
      </c>
      <c r="F669" s="51">
        <v>-1088.700057983398</v>
      </c>
    </row>
    <row r="670" spans="1:6" x14ac:dyDescent="0.25">
      <c r="A670" t="s">
        <v>758</v>
      </c>
      <c r="B670" t="s">
        <v>105</v>
      </c>
      <c r="C670">
        <v>167</v>
      </c>
      <c r="D670" s="51">
        <v>80.989997863769531</v>
      </c>
      <c r="E670">
        <v>68.989999999999995</v>
      </c>
      <c r="F670" s="51">
        <v>-2003.9996432495125</v>
      </c>
    </row>
    <row r="671" spans="1:6" x14ac:dyDescent="0.25">
      <c r="A671" t="s">
        <v>759</v>
      </c>
      <c r="B671" t="s">
        <v>48</v>
      </c>
      <c r="C671">
        <v>876</v>
      </c>
      <c r="D671" s="51">
        <v>38.849998474121094</v>
      </c>
      <c r="E671">
        <v>42.37</v>
      </c>
      <c r="F671" s="51">
        <v>3083.5213366699195</v>
      </c>
    </row>
    <row r="672" spans="1:6" x14ac:dyDescent="0.25">
      <c r="A672" t="s">
        <v>760</v>
      </c>
      <c r="B672" t="s">
        <v>37</v>
      </c>
      <c r="C672">
        <v>621</v>
      </c>
      <c r="D672" s="51">
        <v>28.350000381469727</v>
      </c>
      <c r="E672">
        <v>33.840000000000003</v>
      </c>
      <c r="F672" s="51">
        <v>3409.289763107302</v>
      </c>
    </row>
    <row r="673" spans="1:6" x14ac:dyDescent="0.25">
      <c r="A673" t="s">
        <v>761</v>
      </c>
      <c r="B673" t="s">
        <v>43</v>
      </c>
      <c r="C673">
        <v>338</v>
      </c>
      <c r="D673" s="51">
        <v>75.339996337890625</v>
      </c>
      <c r="E673">
        <v>89.13</v>
      </c>
      <c r="F673" s="51">
        <v>4661.0212377929674</v>
      </c>
    </row>
    <row r="674" spans="1:6" x14ac:dyDescent="0.25">
      <c r="A674" t="s">
        <v>762</v>
      </c>
      <c r="B674" t="s">
        <v>46</v>
      </c>
      <c r="C674">
        <v>980</v>
      </c>
      <c r="D674" s="51">
        <v>99.529998779296875</v>
      </c>
      <c r="E674">
        <v>118.57</v>
      </c>
      <c r="F674" s="51">
        <v>18659.201196289057</v>
      </c>
    </row>
    <row r="675" spans="1:6" x14ac:dyDescent="0.25">
      <c r="A675" t="s">
        <v>763</v>
      </c>
      <c r="B675" t="s">
        <v>46</v>
      </c>
      <c r="C675">
        <v>166</v>
      </c>
      <c r="D675" s="51">
        <v>22.290000915527344</v>
      </c>
      <c r="E675">
        <v>16.079999999999998</v>
      </c>
      <c r="F675" s="51">
        <v>-1030.8601519775393</v>
      </c>
    </row>
    <row r="676" spans="1:6" x14ac:dyDescent="0.25">
      <c r="A676" t="s">
        <v>764</v>
      </c>
      <c r="B676" t="s">
        <v>43</v>
      </c>
      <c r="C676">
        <v>61</v>
      </c>
      <c r="D676" s="51">
        <v>99.459999084472656</v>
      </c>
      <c r="E676">
        <v>105.01</v>
      </c>
      <c r="F676" s="51">
        <v>338.55005584716827</v>
      </c>
    </row>
    <row r="677" spans="1:6" x14ac:dyDescent="0.25">
      <c r="A677" t="s">
        <v>765</v>
      </c>
      <c r="B677" t="s">
        <v>43</v>
      </c>
      <c r="C677">
        <v>528</v>
      </c>
      <c r="D677" s="51">
        <v>79.160003662109375</v>
      </c>
      <c r="E677">
        <v>96.22</v>
      </c>
      <c r="F677" s="51">
        <v>9007.6780664062499</v>
      </c>
    </row>
    <row r="678" spans="1:6" x14ac:dyDescent="0.25">
      <c r="A678" t="s">
        <v>766</v>
      </c>
      <c r="B678" t="s">
        <v>55</v>
      </c>
      <c r="C678">
        <v>509</v>
      </c>
      <c r="D678" s="51">
        <v>84.629997253417969</v>
      </c>
      <c r="E678">
        <v>107.5</v>
      </c>
      <c r="F678" s="51">
        <v>11640.831398010254</v>
      </c>
    </row>
    <row r="679" spans="1:6" x14ac:dyDescent="0.25">
      <c r="A679" t="s">
        <v>767</v>
      </c>
      <c r="B679" t="s">
        <v>90</v>
      </c>
      <c r="C679">
        <v>672</v>
      </c>
      <c r="D679" s="51">
        <v>21.989999771118164</v>
      </c>
      <c r="E679">
        <v>21.92</v>
      </c>
      <c r="F679" s="51">
        <v>-47.039846191405104</v>
      </c>
    </row>
    <row r="680" spans="1:6" x14ac:dyDescent="0.25">
      <c r="A680" t="s">
        <v>768</v>
      </c>
      <c r="B680" t="s">
        <v>52</v>
      </c>
      <c r="C680">
        <v>298</v>
      </c>
      <c r="D680" s="51">
        <v>13.100000381469727</v>
      </c>
      <c r="E680">
        <v>14.27</v>
      </c>
      <c r="F680" s="51">
        <v>348.65988632202135</v>
      </c>
    </row>
    <row r="681" spans="1:6" x14ac:dyDescent="0.25">
      <c r="A681" t="s">
        <v>769</v>
      </c>
      <c r="B681" t="s">
        <v>40</v>
      </c>
      <c r="C681">
        <v>422</v>
      </c>
      <c r="D681" s="51">
        <v>53.349998474121094</v>
      </c>
      <c r="E681">
        <v>49.03</v>
      </c>
      <c r="F681" s="51">
        <v>-1823.039356079101</v>
      </c>
    </row>
    <row r="682" spans="1:6" x14ac:dyDescent="0.25">
      <c r="A682" t="s">
        <v>770</v>
      </c>
      <c r="B682" t="s">
        <v>96</v>
      </c>
      <c r="C682">
        <v>227</v>
      </c>
      <c r="D682" s="51">
        <v>94.489997863769531</v>
      </c>
      <c r="E682">
        <v>117.26</v>
      </c>
      <c r="F682" s="51">
        <v>5168.7904849243178</v>
      </c>
    </row>
    <row r="683" spans="1:6" x14ac:dyDescent="0.25">
      <c r="A683" t="s">
        <v>771</v>
      </c>
      <c r="B683" t="s">
        <v>46</v>
      </c>
      <c r="C683">
        <v>680</v>
      </c>
      <c r="D683" s="51">
        <v>52.409999847412109</v>
      </c>
      <c r="E683">
        <v>55.4</v>
      </c>
      <c r="F683" s="51">
        <v>2033.2001037597647</v>
      </c>
    </row>
    <row r="684" spans="1:6" x14ac:dyDescent="0.25">
      <c r="A684" t="s">
        <v>772</v>
      </c>
      <c r="B684" t="s">
        <v>43</v>
      </c>
      <c r="C684">
        <v>427</v>
      </c>
      <c r="D684" s="51">
        <v>39.979999542236328</v>
      </c>
      <c r="E684">
        <v>48.89</v>
      </c>
      <c r="F684" s="51">
        <v>3804.5701954650881</v>
      </c>
    </row>
    <row r="685" spans="1:6" x14ac:dyDescent="0.25">
      <c r="A685" t="s">
        <v>773</v>
      </c>
      <c r="B685" t="s">
        <v>90</v>
      </c>
      <c r="C685">
        <v>929</v>
      </c>
      <c r="D685" s="51">
        <v>24.870000839233398</v>
      </c>
      <c r="E685">
        <v>25.07</v>
      </c>
      <c r="F685" s="51">
        <v>185.79922035217311</v>
      </c>
    </row>
    <row r="686" spans="1:6" x14ac:dyDescent="0.25">
      <c r="A686" t="s">
        <v>774</v>
      </c>
      <c r="B686" t="s">
        <v>40</v>
      </c>
      <c r="C686">
        <v>855</v>
      </c>
      <c r="D686" s="51">
        <v>12.319999694824219</v>
      </c>
      <c r="E686">
        <v>9.93</v>
      </c>
      <c r="F686" s="51">
        <v>-2043.4497390747072</v>
      </c>
    </row>
    <row r="687" spans="1:6" x14ac:dyDescent="0.25">
      <c r="A687" t="s">
        <v>775</v>
      </c>
      <c r="B687" t="s">
        <v>96</v>
      </c>
      <c r="C687">
        <v>726</v>
      </c>
      <c r="D687" s="51">
        <v>53</v>
      </c>
      <c r="E687">
        <v>41.95</v>
      </c>
      <c r="F687" s="51">
        <v>-8022.2999999999984</v>
      </c>
    </row>
    <row r="688" spans="1:6" x14ac:dyDescent="0.25">
      <c r="A688" t="s">
        <v>776</v>
      </c>
      <c r="B688" t="s">
        <v>105</v>
      </c>
      <c r="C688">
        <v>797</v>
      </c>
      <c r="D688" s="51">
        <v>75.800003051757813</v>
      </c>
      <c r="E688">
        <v>70.680000000000007</v>
      </c>
      <c r="F688" s="51">
        <v>-4080.6424322509711</v>
      </c>
    </row>
    <row r="689" spans="1:6" x14ac:dyDescent="0.25">
      <c r="A689" t="s">
        <v>777</v>
      </c>
      <c r="B689" t="s">
        <v>40</v>
      </c>
      <c r="C689">
        <v>209</v>
      </c>
      <c r="D689" s="51">
        <v>45.650001525878906</v>
      </c>
      <c r="E689">
        <v>52.4</v>
      </c>
      <c r="F689" s="51">
        <v>1410.7496810913083</v>
      </c>
    </row>
    <row r="690" spans="1:6" x14ac:dyDescent="0.25">
      <c r="A690" t="s">
        <v>778</v>
      </c>
      <c r="B690" t="s">
        <v>48</v>
      </c>
      <c r="C690">
        <v>367</v>
      </c>
      <c r="D690" s="51">
        <v>46.310001373291016</v>
      </c>
      <c r="E690">
        <v>47.11</v>
      </c>
      <c r="F690" s="51">
        <v>293.59949600219704</v>
      </c>
    </row>
    <row r="691" spans="1:6" x14ac:dyDescent="0.25">
      <c r="A691" t="s">
        <v>779</v>
      </c>
      <c r="B691" t="s">
        <v>90</v>
      </c>
      <c r="C691">
        <v>593</v>
      </c>
      <c r="D691" s="51">
        <v>88.220001220703125</v>
      </c>
      <c r="E691">
        <v>74.12</v>
      </c>
      <c r="F691" s="51">
        <v>-8361.3007238769496</v>
      </c>
    </row>
    <row r="692" spans="1:6" x14ac:dyDescent="0.25">
      <c r="A692" t="s">
        <v>780</v>
      </c>
      <c r="B692" t="s">
        <v>37</v>
      </c>
      <c r="C692">
        <v>1007</v>
      </c>
      <c r="D692" s="51">
        <v>41.270000457763672</v>
      </c>
      <c r="E692">
        <v>43.17</v>
      </c>
      <c r="F692" s="51">
        <v>1913.2995390319841</v>
      </c>
    </row>
    <row r="693" spans="1:6" x14ac:dyDescent="0.25">
      <c r="A693" t="s">
        <v>781</v>
      </c>
      <c r="B693" t="s">
        <v>52</v>
      </c>
      <c r="C693">
        <v>672</v>
      </c>
      <c r="D693" s="51">
        <v>92.660003662109375</v>
      </c>
      <c r="E693">
        <v>106.84</v>
      </c>
      <c r="F693" s="51">
        <v>9528.9575390625032</v>
      </c>
    </row>
    <row r="694" spans="1:6" x14ac:dyDescent="0.25">
      <c r="A694" t="s">
        <v>782</v>
      </c>
      <c r="B694" t="s">
        <v>37</v>
      </c>
      <c r="C694">
        <v>986</v>
      </c>
      <c r="D694" s="51">
        <v>29.680000305175781</v>
      </c>
      <c r="E694">
        <v>37.909999999999997</v>
      </c>
      <c r="F694" s="51">
        <v>8114.7796990966763</v>
      </c>
    </row>
    <row r="695" spans="1:6" x14ac:dyDescent="0.25">
      <c r="A695" t="s">
        <v>783</v>
      </c>
      <c r="B695" t="s">
        <v>105</v>
      </c>
      <c r="C695">
        <v>317</v>
      </c>
      <c r="D695" s="51">
        <v>47.509998321533203</v>
      </c>
      <c r="E695">
        <v>37.67</v>
      </c>
      <c r="F695" s="51">
        <v>-3119.2794679260251</v>
      </c>
    </row>
    <row r="696" spans="1:6" x14ac:dyDescent="0.25">
      <c r="A696" t="s">
        <v>784</v>
      </c>
      <c r="B696" t="s">
        <v>43</v>
      </c>
      <c r="C696">
        <v>902</v>
      </c>
      <c r="D696" s="51">
        <v>82.089996337890625</v>
      </c>
      <c r="E696">
        <v>60.82</v>
      </c>
      <c r="F696" s="51">
        <v>-19185.536696777344</v>
      </c>
    </row>
    <row r="697" spans="1:6" x14ac:dyDescent="0.25">
      <c r="A697" t="s">
        <v>785</v>
      </c>
      <c r="B697" t="s">
        <v>90</v>
      </c>
      <c r="C697">
        <v>979</v>
      </c>
      <c r="D697" s="51">
        <v>67.849998474121094</v>
      </c>
      <c r="E697">
        <v>67.06</v>
      </c>
      <c r="F697" s="51">
        <v>-773.4085061645485</v>
      </c>
    </row>
    <row r="698" spans="1:6" x14ac:dyDescent="0.25">
      <c r="A698" t="s">
        <v>786</v>
      </c>
      <c r="B698" t="s">
        <v>96</v>
      </c>
      <c r="C698">
        <v>183</v>
      </c>
      <c r="D698" s="51">
        <v>20.620000839233398</v>
      </c>
      <c r="E698">
        <v>23.48</v>
      </c>
      <c r="F698" s="51">
        <v>523.37984642028812</v>
      </c>
    </row>
    <row r="699" spans="1:6" x14ac:dyDescent="0.25">
      <c r="A699" t="s">
        <v>787</v>
      </c>
      <c r="B699" t="s">
        <v>96</v>
      </c>
      <c r="C699">
        <v>184</v>
      </c>
      <c r="D699" s="51">
        <v>45.340000152587891</v>
      </c>
      <c r="E699">
        <v>44.87</v>
      </c>
      <c r="F699" s="51">
        <v>-86.480028076172346</v>
      </c>
    </row>
    <row r="700" spans="1:6" x14ac:dyDescent="0.25">
      <c r="A700" t="s">
        <v>788</v>
      </c>
      <c r="B700" t="s">
        <v>52</v>
      </c>
      <c r="C700">
        <v>582</v>
      </c>
      <c r="D700" s="51">
        <v>68.949996948242188</v>
      </c>
      <c r="E700">
        <v>78.900000000000006</v>
      </c>
      <c r="F700" s="51">
        <v>5790.9017761230498</v>
      </c>
    </row>
    <row r="701" spans="1:6" x14ac:dyDescent="0.25">
      <c r="A701" t="s">
        <v>789</v>
      </c>
      <c r="B701" t="s">
        <v>37</v>
      </c>
      <c r="C701">
        <v>1040</v>
      </c>
      <c r="D701" s="51">
        <v>98.180000305175781</v>
      </c>
      <c r="E701">
        <v>75.489999999999995</v>
      </c>
      <c r="F701" s="51">
        <v>-23597.600317382818</v>
      </c>
    </row>
    <row r="702" spans="1:6" x14ac:dyDescent="0.25">
      <c r="A702" t="s">
        <v>790</v>
      </c>
      <c r="B702" t="s">
        <v>48</v>
      </c>
      <c r="C702">
        <v>682</v>
      </c>
      <c r="D702" s="51">
        <v>102.33999633789063</v>
      </c>
      <c r="E702">
        <v>92.46</v>
      </c>
      <c r="F702" s="51">
        <v>-6738.1575024414105</v>
      </c>
    </row>
    <row r="703" spans="1:6" x14ac:dyDescent="0.25">
      <c r="A703" t="s">
        <v>791</v>
      </c>
      <c r="B703" t="s">
        <v>96</v>
      </c>
      <c r="C703">
        <v>729</v>
      </c>
      <c r="D703" s="51">
        <v>21.149999618530273</v>
      </c>
      <c r="E703">
        <v>15.23</v>
      </c>
      <c r="F703" s="51">
        <v>-4315.6797219085693</v>
      </c>
    </row>
    <row r="704" spans="1:6" x14ac:dyDescent="0.25">
      <c r="A704" t="s">
        <v>792</v>
      </c>
      <c r="B704" t="s">
        <v>46</v>
      </c>
      <c r="C704">
        <v>393</v>
      </c>
      <c r="D704" s="51">
        <v>97.569999694824219</v>
      </c>
      <c r="E704">
        <v>110.61</v>
      </c>
      <c r="F704" s="51">
        <v>5124.7201199340816</v>
      </c>
    </row>
    <row r="705" spans="1:6" x14ac:dyDescent="0.25">
      <c r="A705" t="s">
        <v>793</v>
      </c>
      <c r="B705" t="s">
        <v>40</v>
      </c>
      <c r="C705">
        <v>1014</v>
      </c>
      <c r="D705" s="51">
        <v>35.590000152587891</v>
      </c>
      <c r="E705">
        <v>27.03</v>
      </c>
      <c r="F705" s="51">
        <v>-8679.8401547241192</v>
      </c>
    </row>
    <row r="706" spans="1:6" x14ac:dyDescent="0.25">
      <c r="A706" t="s">
        <v>794</v>
      </c>
      <c r="B706" t="s">
        <v>43</v>
      </c>
      <c r="C706">
        <v>455</v>
      </c>
      <c r="D706" s="51">
        <v>83.040000915527344</v>
      </c>
      <c r="E706">
        <v>85.04</v>
      </c>
      <c r="F706" s="51">
        <v>909.99958343506148</v>
      </c>
    </row>
    <row r="707" spans="1:6" x14ac:dyDescent="0.25">
      <c r="A707" t="s">
        <v>795</v>
      </c>
      <c r="B707" t="s">
        <v>52</v>
      </c>
      <c r="C707">
        <v>736</v>
      </c>
      <c r="D707" s="51">
        <v>39.400001525878906</v>
      </c>
      <c r="E707">
        <v>48.24</v>
      </c>
      <c r="F707" s="51">
        <v>6506.2388769531262</v>
      </c>
    </row>
    <row r="708" spans="1:6" x14ac:dyDescent="0.25">
      <c r="A708" t="s">
        <v>796</v>
      </c>
      <c r="B708" t="s">
        <v>55</v>
      </c>
      <c r="C708">
        <v>933</v>
      </c>
      <c r="D708" s="51">
        <v>88.650001525878906</v>
      </c>
      <c r="E708">
        <v>82.99</v>
      </c>
      <c r="F708" s="51">
        <v>-5280.781423645024</v>
      </c>
    </row>
    <row r="709" spans="1:6" x14ac:dyDescent="0.25">
      <c r="A709" t="s">
        <v>797</v>
      </c>
      <c r="B709" t="s">
        <v>48</v>
      </c>
      <c r="C709">
        <v>313</v>
      </c>
      <c r="D709" s="51">
        <v>57.040000915527344</v>
      </c>
      <c r="E709">
        <v>44.19</v>
      </c>
      <c r="F709" s="51">
        <v>-4022.0502865600592</v>
      </c>
    </row>
    <row r="710" spans="1:6" x14ac:dyDescent="0.25">
      <c r="A710" t="s">
        <v>798</v>
      </c>
      <c r="B710" t="s">
        <v>37</v>
      </c>
      <c r="C710">
        <v>724</v>
      </c>
      <c r="D710" s="51">
        <v>95.919998168945313</v>
      </c>
      <c r="E710">
        <v>86.61</v>
      </c>
      <c r="F710" s="51">
        <v>-6740.4386743164068</v>
      </c>
    </row>
    <row r="711" spans="1:6" x14ac:dyDescent="0.25">
      <c r="A711" t="s">
        <v>799</v>
      </c>
      <c r="B711" t="s">
        <v>52</v>
      </c>
      <c r="C711">
        <v>241</v>
      </c>
      <c r="D711" s="51">
        <v>89.540000915527344</v>
      </c>
      <c r="E711">
        <v>79.86</v>
      </c>
      <c r="F711" s="51">
        <v>-2332.8802206420901</v>
      </c>
    </row>
    <row r="712" spans="1:6" x14ac:dyDescent="0.25">
      <c r="A712" t="s">
        <v>800</v>
      </c>
      <c r="B712" t="s">
        <v>52</v>
      </c>
      <c r="C712">
        <v>51</v>
      </c>
      <c r="D712" s="51">
        <v>87.889999389648438</v>
      </c>
      <c r="E712">
        <v>81.680000000000007</v>
      </c>
      <c r="F712" s="51">
        <v>-316.70996887206996</v>
      </c>
    </row>
    <row r="713" spans="1:6" x14ac:dyDescent="0.25">
      <c r="A713" t="s">
        <v>801</v>
      </c>
      <c r="B713" t="s">
        <v>52</v>
      </c>
      <c r="C713">
        <v>596</v>
      </c>
      <c r="D713" s="51">
        <v>64.480003356933594</v>
      </c>
      <c r="E713">
        <v>50.27</v>
      </c>
      <c r="F713" s="51">
        <v>-8469.16200073242</v>
      </c>
    </row>
    <row r="714" spans="1:6" x14ac:dyDescent="0.25">
      <c r="A714" t="s">
        <v>802</v>
      </c>
      <c r="B714" t="s">
        <v>48</v>
      </c>
      <c r="C714">
        <v>964</v>
      </c>
      <c r="D714" s="51">
        <v>99.19000244140625</v>
      </c>
      <c r="E714">
        <v>128.19</v>
      </c>
      <c r="F714" s="51">
        <v>27955.997646484371</v>
      </c>
    </row>
    <row r="715" spans="1:6" x14ac:dyDescent="0.25">
      <c r="A715" t="s">
        <v>803</v>
      </c>
      <c r="B715" t="s">
        <v>48</v>
      </c>
      <c r="C715">
        <v>529</v>
      </c>
      <c r="D715" s="51">
        <v>86.019996643066406</v>
      </c>
      <c r="E715">
        <v>108.63</v>
      </c>
      <c r="F715" s="51">
        <v>11960.691775817868</v>
      </c>
    </row>
    <row r="716" spans="1:6" x14ac:dyDescent="0.25">
      <c r="A716" t="s">
        <v>804</v>
      </c>
      <c r="B716" t="s">
        <v>37</v>
      </c>
      <c r="C716">
        <v>843</v>
      </c>
      <c r="D716" s="51">
        <v>65.989997863769531</v>
      </c>
      <c r="E716">
        <v>68.67</v>
      </c>
      <c r="F716" s="51">
        <v>2259.2418008422865</v>
      </c>
    </row>
    <row r="717" spans="1:6" x14ac:dyDescent="0.25">
      <c r="A717" t="s">
        <v>805</v>
      </c>
      <c r="B717" t="s">
        <v>48</v>
      </c>
      <c r="C717">
        <v>773</v>
      </c>
      <c r="D717" s="51">
        <v>84.870002746582031</v>
      </c>
      <c r="E717">
        <v>75.44</v>
      </c>
      <c r="F717" s="51">
        <v>-7289.3921231079121</v>
      </c>
    </row>
    <row r="718" spans="1:6" x14ac:dyDescent="0.25">
      <c r="A718" t="s">
        <v>806</v>
      </c>
      <c r="B718" t="s">
        <v>48</v>
      </c>
      <c r="C718">
        <v>895</v>
      </c>
      <c r="D718" s="51">
        <v>76.050003051757813</v>
      </c>
      <c r="E718">
        <v>98.46</v>
      </c>
      <c r="F718" s="51">
        <v>20056.947268676751</v>
      </c>
    </row>
    <row r="719" spans="1:6" x14ac:dyDescent="0.25">
      <c r="A719" t="s">
        <v>807</v>
      </c>
      <c r="B719" t="s">
        <v>48</v>
      </c>
      <c r="C719">
        <v>136</v>
      </c>
      <c r="D719" s="51">
        <v>68.30999755859375</v>
      </c>
      <c r="E719">
        <v>70.150000000000006</v>
      </c>
      <c r="F719" s="51">
        <v>250.24033203125077</v>
      </c>
    </row>
    <row r="720" spans="1:6" x14ac:dyDescent="0.25">
      <c r="A720" t="s">
        <v>808</v>
      </c>
      <c r="B720" t="s">
        <v>96</v>
      </c>
      <c r="C720">
        <v>657</v>
      </c>
      <c r="D720" s="51">
        <v>18.659999847412109</v>
      </c>
      <c r="E720">
        <v>13.94</v>
      </c>
      <c r="F720" s="51">
        <v>-3101.0398997497564</v>
      </c>
    </row>
    <row r="721" spans="1:6" x14ac:dyDescent="0.25">
      <c r="A721" t="s">
        <v>809</v>
      </c>
      <c r="B721" t="s">
        <v>40</v>
      </c>
      <c r="C721">
        <v>1005</v>
      </c>
      <c r="D721" s="51">
        <v>70.160003662109375</v>
      </c>
      <c r="E721">
        <v>53.86</v>
      </c>
      <c r="F721" s="51">
        <v>-16381.503680419923</v>
      </c>
    </row>
    <row r="722" spans="1:6" x14ac:dyDescent="0.25">
      <c r="A722" t="s">
        <v>810</v>
      </c>
      <c r="B722" t="s">
        <v>96</v>
      </c>
      <c r="C722">
        <v>492</v>
      </c>
      <c r="D722" s="51">
        <v>34.700000762939453</v>
      </c>
      <c r="E722">
        <v>26.45</v>
      </c>
      <c r="F722" s="51">
        <v>-4059.0003753662113</v>
      </c>
    </row>
    <row r="723" spans="1:6" x14ac:dyDescent="0.25">
      <c r="A723" t="s">
        <v>811</v>
      </c>
      <c r="B723" t="s">
        <v>52</v>
      </c>
      <c r="C723">
        <v>845</v>
      </c>
      <c r="D723" s="51">
        <v>100.83999633789063</v>
      </c>
      <c r="E723">
        <v>83.09</v>
      </c>
      <c r="F723" s="51">
        <v>-14998.746905517575</v>
      </c>
    </row>
    <row r="724" spans="1:6" x14ac:dyDescent="0.25">
      <c r="A724" t="s">
        <v>812</v>
      </c>
      <c r="B724" t="s">
        <v>37</v>
      </c>
      <c r="C724">
        <v>92</v>
      </c>
      <c r="D724" s="51">
        <v>66.599998474121094</v>
      </c>
      <c r="E724">
        <v>58.35</v>
      </c>
      <c r="F724" s="51">
        <v>-758.99985961914047</v>
      </c>
    </row>
    <row r="725" spans="1:6" x14ac:dyDescent="0.25">
      <c r="A725" t="s">
        <v>813</v>
      </c>
      <c r="B725" t="s">
        <v>90</v>
      </c>
      <c r="C725">
        <v>701</v>
      </c>
      <c r="D725" s="51">
        <v>97.300003051757813</v>
      </c>
      <c r="E725">
        <v>80.81</v>
      </c>
      <c r="F725" s="51">
        <v>-11559.492139282225</v>
      </c>
    </row>
    <row r="726" spans="1:6" x14ac:dyDescent="0.25">
      <c r="A726" t="s">
        <v>814</v>
      </c>
      <c r="B726" t="s">
        <v>90</v>
      </c>
      <c r="C726">
        <v>976</v>
      </c>
      <c r="D726" s="51">
        <v>108.34999847412109</v>
      </c>
      <c r="E726">
        <v>97.21</v>
      </c>
      <c r="F726" s="51">
        <v>-10872.638510742194</v>
      </c>
    </row>
    <row r="727" spans="1:6" x14ac:dyDescent="0.25">
      <c r="A727" t="s">
        <v>815</v>
      </c>
      <c r="B727" t="s">
        <v>52</v>
      </c>
      <c r="C727">
        <v>693</v>
      </c>
      <c r="D727" s="51">
        <v>73.069999694824219</v>
      </c>
      <c r="E727">
        <v>61.66</v>
      </c>
      <c r="F727" s="51">
        <v>-7907.1297885131862</v>
      </c>
    </row>
    <row r="728" spans="1:6" x14ac:dyDescent="0.25">
      <c r="A728" t="s">
        <v>816</v>
      </c>
      <c r="B728" t="s">
        <v>48</v>
      </c>
      <c r="C728">
        <v>993</v>
      </c>
      <c r="D728" s="51">
        <v>55.509998321533203</v>
      </c>
      <c r="E728">
        <v>66.900000000000006</v>
      </c>
      <c r="F728" s="51">
        <v>11310.271666717535</v>
      </c>
    </row>
    <row r="729" spans="1:6" x14ac:dyDescent="0.25">
      <c r="A729" t="s">
        <v>817</v>
      </c>
      <c r="B729" t="s">
        <v>55</v>
      </c>
      <c r="C729">
        <v>522</v>
      </c>
      <c r="D729" s="51">
        <v>68.239997863769531</v>
      </c>
      <c r="E729">
        <v>71.13</v>
      </c>
      <c r="F729" s="51">
        <v>1508.5811151123023</v>
      </c>
    </row>
    <row r="730" spans="1:6" x14ac:dyDescent="0.25">
      <c r="A730" t="s">
        <v>818</v>
      </c>
      <c r="B730" t="s">
        <v>48</v>
      </c>
      <c r="C730">
        <v>820</v>
      </c>
      <c r="D730" s="51">
        <v>55.200000762939453</v>
      </c>
      <c r="E730">
        <v>69.12</v>
      </c>
      <c r="F730" s="51">
        <v>11414.399374389652</v>
      </c>
    </row>
    <row r="731" spans="1:6" x14ac:dyDescent="0.25">
      <c r="A731" t="s">
        <v>819</v>
      </c>
      <c r="B731" t="s">
        <v>55</v>
      </c>
      <c r="C731">
        <v>965</v>
      </c>
      <c r="D731" s="51">
        <v>99.459999084472656</v>
      </c>
      <c r="E731">
        <v>82.19</v>
      </c>
      <c r="F731" s="51">
        <v>-16665.549116516115</v>
      </c>
    </row>
    <row r="732" spans="1:6" x14ac:dyDescent="0.25">
      <c r="A732" t="s">
        <v>820</v>
      </c>
      <c r="B732" t="s">
        <v>43</v>
      </c>
      <c r="C732">
        <v>460</v>
      </c>
      <c r="D732" s="51">
        <v>56.099998474121094</v>
      </c>
      <c r="E732">
        <v>59.56</v>
      </c>
      <c r="F732" s="51">
        <v>1591.6007019042979</v>
      </c>
    </row>
    <row r="733" spans="1:6" x14ac:dyDescent="0.25">
      <c r="A733" t="s">
        <v>821</v>
      </c>
      <c r="B733" t="s">
        <v>96</v>
      </c>
      <c r="C733">
        <v>378</v>
      </c>
      <c r="D733" s="51">
        <v>109.94000244140625</v>
      </c>
      <c r="E733">
        <v>100.94</v>
      </c>
      <c r="F733" s="51">
        <v>-3402.0009228515632</v>
      </c>
    </row>
    <row r="734" spans="1:6" x14ac:dyDescent="0.25">
      <c r="A734" t="s">
        <v>822</v>
      </c>
      <c r="B734" t="s">
        <v>90</v>
      </c>
      <c r="C734">
        <v>747</v>
      </c>
      <c r="D734" s="51">
        <v>58.450000762939453</v>
      </c>
      <c r="E734">
        <v>54.32</v>
      </c>
      <c r="F734" s="51">
        <v>-3085.1105699157711</v>
      </c>
    </row>
    <row r="735" spans="1:6" x14ac:dyDescent="0.25">
      <c r="A735" t="s">
        <v>823</v>
      </c>
      <c r="B735" t="s">
        <v>55</v>
      </c>
      <c r="C735">
        <v>195</v>
      </c>
      <c r="D735" s="51">
        <v>19.459999084472656</v>
      </c>
      <c r="E735">
        <v>24.55</v>
      </c>
      <c r="F735" s="51">
        <v>992.55017852783214</v>
      </c>
    </row>
    <row r="736" spans="1:6" x14ac:dyDescent="0.25">
      <c r="A736" t="s">
        <v>824</v>
      </c>
      <c r="B736" t="s">
        <v>37</v>
      </c>
      <c r="C736">
        <v>841</v>
      </c>
      <c r="D736" s="51">
        <v>64.05999755859375</v>
      </c>
      <c r="E736">
        <v>71.92</v>
      </c>
      <c r="F736" s="51">
        <v>6610.2620532226574</v>
      </c>
    </row>
    <row r="737" spans="1:6" x14ac:dyDescent="0.25">
      <c r="A737" t="s">
        <v>825</v>
      </c>
      <c r="B737" t="s">
        <v>55</v>
      </c>
      <c r="C737">
        <v>429</v>
      </c>
      <c r="D737" s="51">
        <v>74.360000610351563</v>
      </c>
      <c r="E737">
        <v>53.73</v>
      </c>
      <c r="F737" s="51">
        <v>-8850.2702618408221</v>
      </c>
    </row>
    <row r="738" spans="1:6" x14ac:dyDescent="0.25">
      <c r="A738" t="s">
        <v>826</v>
      </c>
      <c r="B738" t="s">
        <v>96</v>
      </c>
      <c r="C738">
        <v>730</v>
      </c>
      <c r="D738" s="51">
        <v>26.309999465942383</v>
      </c>
      <c r="E738">
        <v>25.81</v>
      </c>
      <c r="F738" s="51">
        <v>-364.99961013794041</v>
      </c>
    </row>
    <row r="739" spans="1:6" x14ac:dyDescent="0.25">
      <c r="A739" t="s">
        <v>827</v>
      </c>
      <c r="B739" t="s">
        <v>96</v>
      </c>
      <c r="C739">
        <v>170</v>
      </c>
      <c r="D739" s="51">
        <v>97.529998779296875</v>
      </c>
      <c r="E739">
        <v>96.46</v>
      </c>
      <c r="F739" s="51">
        <v>-181.89979248046981</v>
      </c>
    </row>
    <row r="740" spans="1:6" x14ac:dyDescent="0.25">
      <c r="A740" t="s">
        <v>828</v>
      </c>
      <c r="B740" t="s">
        <v>105</v>
      </c>
      <c r="C740">
        <v>731</v>
      </c>
      <c r="D740" s="51">
        <v>100.11000061035156</v>
      </c>
      <c r="E740">
        <v>101.7</v>
      </c>
      <c r="F740" s="51">
        <v>1162.2895538330099</v>
      </c>
    </row>
    <row r="741" spans="1:6" x14ac:dyDescent="0.25">
      <c r="A741" t="s">
        <v>829</v>
      </c>
      <c r="B741" t="s">
        <v>52</v>
      </c>
      <c r="C741">
        <v>86</v>
      </c>
      <c r="D741" s="51">
        <v>38.439998626708984</v>
      </c>
      <c r="E741">
        <v>33.46</v>
      </c>
      <c r="F741" s="51">
        <v>-428.2798818969726</v>
      </c>
    </row>
    <row r="742" spans="1:6" x14ac:dyDescent="0.25">
      <c r="A742" t="s">
        <v>830</v>
      </c>
      <c r="B742" t="s">
        <v>105</v>
      </c>
      <c r="C742">
        <v>990</v>
      </c>
      <c r="D742" s="51">
        <v>91.970001220703125</v>
      </c>
      <c r="E742">
        <v>74.489999999999995</v>
      </c>
      <c r="F742" s="51">
        <v>-17305.201208496099</v>
      </c>
    </row>
    <row r="743" spans="1:6" x14ac:dyDescent="0.25">
      <c r="A743" t="s">
        <v>831</v>
      </c>
      <c r="B743" t="s">
        <v>105</v>
      </c>
      <c r="C743">
        <v>924</v>
      </c>
      <c r="D743" s="51">
        <v>23.110000610351563</v>
      </c>
      <c r="E743">
        <v>18.46</v>
      </c>
      <c r="F743" s="51">
        <v>-4296.6005639648429</v>
      </c>
    </row>
    <row r="744" spans="1:6" x14ac:dyDescent="0.25">
      <c r="A744" t="s">
        <v>832</v>
      </c>
      <c r="B744" t="s">
        <v>48</v>
      </c>
      <c r="C744">
        <v>980</v>
      </c>
      <c r="D744" s="51">
        <v>109.94999694824219</v>
      </c>
      <c r="E744">
        <v>122.96</v>
      </c>
      <c r="F744" s="51">
        <v>12749.80299072265</v>
      </c>
    </row>
    <row r="745" spans="1:6" x14ac:dyDescent="0.25">
      <c r="A745" t="s">
        <v>833</v>
      </c>
      <c r="B745" t="s">
        <v>40</v>
      </c>
      <c r="C745">
        <v>1008</v>
      </c>
      <c r="D745" s="51">
        <v>104.12999725341797</v>
      </c>
      <c r="E745">
        <v>75.69</v>
      </c>
      <c r="F745" s="51">
        <v>-28667.517231445316</v>
      </c>
    </row>
    <row r="746" spans="1:6" x14ac:dyDescent="0.25">
      <c r="A746" t="s">
        <v>834</v>
      </c>
      <c r="B746" t="s">
        <v>46</v>
      </c>
      <c r="C746">
        <v>1002</v>
      </c>
      <c r="D746" s="51">
        <v>13.649999618530273</v>
      </c>
      <c r="E746">
        <v>15.94</v>
      </c>
      <c r="F746" s="51">
        <v>2294.5803822326657</v>
      </c>
    </row>
    <row r="747" spans="1:6" x14ac:dyDescent="0.25">
      <c r="A747" t="s">
        <v>835</v>
      </c>
      <c r="B747" t="s">
        <v>46</v>
      </c>
      <c r="C747">
        <v>741</v>
      </c>
      <c r="D747" s="51">
        <v>10.659999847412109</v>
      </c>
      <c r="E747">
        <v>10.98</v>
      </c>
      <c r="F747" s="51">
        <v>237.12011306762727</v>
      </c>
    </row>
    <row r="748" spans="1:6" x14ac:dyDescent="0.25">
      <c r="A748" t="s">
        <v>836</v>
      </c>
      <c r="B748" t="s">
        <v>43</v>
      </c>
      <c r="C748">
        <v>685</v>
      </c>
      <c r="D748" s="51">
        <v>64.269996643066406</v>
      </c>
      <c r="E748">
        <v>48.69</v>
      </c>
      <c r="F748" s="51">
        <v>-10672.29770050049</v>
      </c>
    </row>
    <row r="749" spans="1:6" x14ac:dyDescent="0.25">
      <c r="A749" t="s">
        <v>837</v>
      </c>
      <c r="B749" t="s">
        <v>46</v>
      </c>
      <c r="C749">
        <v>105</v>
      </c>
      <c r="D749" s="51">
        <v>98.400001525878906</v>
      </c>
      <c r="E749">
        <v>99.04</v>
      </c>
      <c r="F749" s="51">
        <v>67.1998397827155</v>
      </c>
    </row>
    <row r="750" spans="1:6" x14ac:dyDescent="0.25">
      <c r="A750" t="s">
        <v>838</v>
      </c>
      <c r="B750" t="s">
        <v>96</v>
      </c>
      <c r="C750">
        <v>486</v>
      </c>
      <c r="D750" s="51">
        <v>74.540000915527344</v>
      </c>
      <c r="E750">
        <v>86.29</v>
      </c>
      <c r="F750" s="51">
        <v>5710.4995550537142</v>
      </c>
    </row>
    <row r="751" spans="1:6" x14ac:dyDescent="0.25">
      <c r="A751" t="s">
        <v>839</v>
      </c>
      <c r="B751" t="s">
        <v>90</v>
      </c>
      <c r="C751">
        <v>159</v>
      </c>
      <c r="D751" s="51">
        <v>99.629997253417969</v>
      </c>
      <c r="E751">
        <v>97.04</v>
      </c>
      <c r="F751" s="51">
        <v>-411.80956329345605</v>
      </c>
    </row>
    <row r="752" spans="1:6" x14ac:dyDescent="0.25">
      <c r="A752" t="s">
        <v>840</v>
      </c>
      <c r="B752" t="s">
        <v>55</v>
      </c>
      <c r="C752">
        <v>193</v>
      </c>
      <c r="D752" s="51">
        <v>58.779998779296875</v>
      </c>
      <c r="E752">
        <v>71.17</v>
      </c>
      <c r="F752" s="51">
        <v>2391.2702355957035</v>
      </c>
    </row>
    <row r="753" spans="1:6" x14ac:dyDescent="0.25">
      <c r="A753" t="s">
        <v>841</v>
      </c>
      <c r="B753" t="s">
        <v>46</v>
      </c>
      <c r="C753">
        <v>539</v>
      </c>
      <c r="D753" s="51">
        <v>73.19000244140625</v>
      </c>
      <c r="E753">
        <v>56.66</v>
      </c>
      <c r="F753" s="51">
        <v>-8909.6713159179708</v>
      </c>
    </row>
    <row r="754" spans="1:6" x14ac:dyDescent="0.25">
      <c r="A754" t="s">
        <v>842</v>
      </c>
      <c r="B754" t="s">
        <v>40</v>
      </c>
      <c r="C754">
        <v>417</v>
      </c>
      <c r="D754" s="51">
        <v>82.849998474121094</v>
      </c>
      <c r="E754">
        <v>102.01</v>
      </c>
      <c r="F754" s="51">
        <v>7989.7206362915058</v>
      </c>
    </row>
    <row r="755" spans="1:6" x14ac:dyDescent="0.25">
      <c r="A755" t="s">
        <v>843</v>
      </c>
      <c r="B755" t="s">
        <v>48</v>
      </c>
      <c r="C755">
        <v>961</v>
      </c>
      <c r="D755" s="51">
        <v>54.470001220703125</v>
      </c>
      <c r="E755">
        <v>69.150000000000006</v>
      </c>
      <c r="F755" s="51">
        <v>14107.478826904302</v>
      </c>
    </row>
    <row r="756" spans="1:6" x14ac:dyDescent="0.25">
      <c r="A756" t="s">
        <v>844</v>
      </c>
      <c r="B756" t="s">
        <v>90</v>
      </c>
      <c r="C756">
        <v>102</v>
      </c>
      <c r="D756" s="51">
        <v>14.189999580383301</v>
      </c>
      <c r="E756">
        <v>12.85</v>
      </c>
      <c r="F756" s="51">
        <v>-136.67995719909672</v>
      </c>
    </row>
    <row r="757" spans="1:6" x14ac:dyDescent="0.25">
      <c r="A757" t="s">
        <v>845</v>
      </c>
      <c r="B757" t="s">
        <v>48</v>
      </c>
      <c r="C757">
        <v>718</v>
      </c>
      <c r="D757" s="51">
        <v>105.44999694824219</v>
      </c>
      <c r="E757">
        <v>110.16</v>
      </c>
      <c r="F757" s="51">
        <v>3381.7821911621068</v>
      </c>
    </row>
    <row r="758" spans="1:6" x14ac:dyDescent="0.25">
      <c r="A758" t="s">
        <v>846</v>
      </c>
      <c r="B758" t="s">
        <v>96</v>
      </c>
      <c r="C758">
        <v>1017</v>
      </c>
      <c r="D758" s="51">
        <v>71.790000915527344</v>
      </c>
      <c r="E758">
        <v>56.8</v>
      </c>
      <c r="F758" s="51">
        <v>-15244.830931091312</v>
      </c>
    </row>
    <row r="759" spans="1:6" x14ac:dyDescent="0.25">
      <c r="A759" t="s">
        <v>847</v>
      </c>
      <c r="B759" t="s">
        <v>105</v>
      </c>
      <c r="C759">
        <v>182</v>
      </c>
      <c r="D759" s="51">
        <v>64.650001525878906</v>
      </c>
      <c r="E759">
        <v>58.6</v>
      </c>
      <c r="F759" s="51">
        <v>-1101.1002777099607</v>
      </c>
    </row>
    <row r="760" spans="1:6" x14ac:dyDescent="0.25">
      <c r="A760" t="s">
        <v>848</v>
      </c>
      <c r="B760" t="s">
        <v>40</v>
      </c>
      <c r="C760">
        <v>260</v>
      </c>
      <c r="D760" s="51">
        <v>76.199996948242188</v>
      </c>
      <c r="E760">
        <v>62.39</v>
      </c>
      <c r="F760" s="51">
        <v>-3590.5992065429687</v>
      </c>
    </row>
    <row r="761" spans="1:6" x14ac:dyDescent="0.25">
      <c r="A761" t="s">
        <v>849</v>
      </c>
      <c r="B761" t="s">
        <v>55</v>
      </c>
      <c r="C761">
        <v>303</v>
      </c>
      <c r="D761" s="51">
        <v>97.150001525878906</v>
      </c>
      <c r="E761">
        <v>114.93</v>
      </c>
      <c r="F761" s="51">
        <v>5387.3395376586932</v>
      </c>
    </row>
    <row r="762" spans="1:6" x14ac:dyDescent="0.25">
      <c r="A762" t="s">
        <v>850</v>
      </c>
      <c r="B762" t="s">
        <v>48</v>
      </c>
      <c r="C762">
        <v>758</v>
      </c>
      <c r="D762" s="51">
        <v>99.540000915527344</v>
      </c>
      <c r="E762">
        <v>118.44</v>
      </c>
      <c r="F762" s="51">
        <v>14326.199306030272</v>
      </c>
    </row>
    <row r="763" spans="1:6" x14ac:dyDescent="0.25">
      <c r="A763" t="s">
        <v>851</v>
      </c>
      <c r="B763" t="s">
        <v>46</v>
      </c>
      <c r="C763">
        <v>109</v>
      </c>
      <c r="D763" s="51">
        <v>44.599998474121094</v>
      </c>
      <c r="E763">
        <v>36.79</v>
      </c>
      <c r="F763" s="51">
        <v>-851.28983367919932</v>
      </c>
    </row>
    <row r="764" spans="1:6" x14ac:dyDescent="0.25">
      <c r="A764" t="s">
        <v>852</v>
      </c>
      <c r="B764" t="s">
        <v>43</v>
      </c>
      <c r="C764">
        <v>765</v>
      </c>
      <c r="D764" s="51">
        <v>15.510000228881836</v>
      </c>
      <c r="E764">
        <v>13.62</v>
      </c>
      <c r="F764" s="51">
        <v>-1445.850175094605</v>
      </c>
    </row>
    <row r="765" spans="1:6" x14ac:dyDescent="0.25">
      <c r="A765" t="s">
        <v>853</v>
      </c>
      <c r="B765" t="s">
        <v>52</v>
      </c>
      <c r="C765">
        <v>205</v>
      </c>
      <c r="D765" s="51">
        <v>75.230003356933594</v>
      </c>
      <c r="E765">
        <v>52.96</v>
      </c>
      <c r="F765" s="51">
        <v>-4565.3506881713865</v>
      </c>
    </row>
    <row r="766" spans="1:6" x14ac:dyDescent="0.25">
      <c r="A766" t="s">
        <v>854</v>
      </c>
      <c r="B766" t="s">
        <v>37</v>
      </c>
      <c r="C766">
        <v>363</v>
      </c>
      <c r="D766" s="51">
        <v>49.330001831054688</v>
      </c>
      <c r="E766">
        <v>45.85</v>
      </c>
      <c r="F766" s="51">
        <v>-1263.2406646728512</v>
      </c>
    </row>
    <row r="767" spans="1:6" x14ac:dyDescent="0.25">
      <c r="A767" t="s">
        <v>855</v>
      </c>
      <c r="B767" t="s">
        <v>52</v>
      </c>
      <c r="C767">
        <v>275</v>
      </c>
      <c r="D767" s="51">
        <v>33.790000915527344</v>
      </c>
      <c r="E767">
        <v>30.9</v>
      </c>
      <c r="F767" s="51">
        <v>-794.75025177001987</v>
      </c>
    </row>
    <row r="768" spans="1:6" x14ac:dyDescent="0.25">
      <c r="A768" t="s">
        <v>856</v>
      </c>
      <c r="B768" t="s">
        <v>46</v>
      </c>
      <c r="C768">
        <v>964</v>
      </c>
      <c r="D768" s="51">
        <v>27.819999694824219</v>
      </c>
      <c r="E768">
        <v>32.299999999999997</v>
      </c>
      <c r="F768" s="51">
        <v>4318.7202941894502</v>
      </c>
    </row>
    <row r="769" spans="1:6" x14ac:dyDescent="0.25">
      <c r="A769" t="s">
        <v>857</v>
      </c>
      <c r="B769" t="s">
        <v>40</v>
      </c>
      <c r="C769">
        <v>583</v>
      </c>
      <c r="D769" s="51">
        <v>91.639999389648438</v>
      </c>
      <c r="E769">
        <v>98.27</v>
      </c>
      <c r="F769" s="51">
        <v>3865.2903558349585</v>
      </c>
    </row>
    <row r="770" spans="1:6" x14ac:dyDescent="0.25">
      <c r="A770" t="s">
        <v>858</v>
      </c>
      <c r="B770" t="s">
        <v>96</v>
      </c>
      <c r="C770">
        <v>805</v>
      </c>
      <c r="D770" s="51">
        <v>29.340000152587891</v>
      </c>
      <c r="E770">
        <v>31.17</v>
      </c>
      <c r="F770" s="51">
        <v>1473.1498771667493</v>
      </c>
    </row>
    <row r="771" spans="1:6" x14ac:dyDescent="0.25">
      <c r="A771" t="s">
        <v>859</v>
      </c>
      <c r="B771" t="s">
        <v>90</v>
      </c>
      <c r="C771">
        <v>467</v>
      </c>
      <c r="D771" s="51">
        <v>96.669998168945313</v>
      </c>
      <c r="E771">
        <v>117.49</v>
      </c>
      <c r="F771" s="51">
        <v>9722.9408551025372</v>
      </c>
    </row>
    <row r="772" spans="1:6" x14ac:dyDescent="0.25">
      <c r="A772" t="s">
        <v>860</v>
      </c>
      <c r="B772" t="s">
        <v>40</v>
      </c>
      <c r="C772">
        <v>455</v>
      </c>
      <c r="D772" s="51">
        <v>33.840000152587891</v>
      </c>
      <c r="E772">
        <v>43.81</v>
      </c>
      <c r="F772" s="51">
        <v>4536.3499305725109</v>
      </c>
    </row>
    <row r="773" spans="1:6" x14ac:dyDescent="0.25">
      <c r="A773" t="s">
        <v>861</v>
      </c>
      <c r="B773" t="s">
        <v>55</v>
      </c>
      <c r="C773">
        <v>847</v>
      </c>
      <c r="D773" s="51">
        <v>23.350000381469727</v>
      </c>
      <c r="E773">
        <v>21.09</v>
      </c>
      <c r="F773" s="51">
        <v>-1914.2203231048586</v>
      </c>
    </row>
    <row r="774" spans="1:6" x14ac:dyDescent="0.25">
      <c r="A774" t="s">
        <v>862</v>
      </c>
      <c r="B774" t="s">
        <v>105</v>
      </c>
      <c r="C774">
        <v>307</v>
      </c>
      <c r="D774" s="51">
        <v>72.790000915527344</v>
      </c>
      <c r="E774">
        <v>72.14</v>
      </c>
      <c r="F774" s="51">
        <v>-199.55028106689434</v>
      </c>
    </row>
    <row r="775" spans="1:6" x14ac:dyDescent="0.25">
      <c r="A775" t="s">
        <v>863</v>
      </c>
      <c r="B775" t="s">
        <v>55</v>
      </c>
      <c r="C775">
        <v>719</v>
      </c>
      <c r="D775" s="51">
        <v>22.690000534057617</v>
      </c>
      <c r="E775">
        <v>16.27</v>
      </c>
      <c r="F775" s="51">
        <v>-4615.9803839874266</v>
      </c>
    </row>
    <row r="776" spans="1:6" x14ac:dyDescent="0.25">
      <c r="A776" t="s">
        <v>864</v>
      </c>
      <c r="B776" t="s">
        <v>43</v>
      </c>
      <c r="C776">
        <v>85</v>
      </c>
      <c r="D776" s="51">
        <v>79.269996643066406</v>
      </c>
      <c r="E776">
        <v>83.75</v>
      </c>
      <c r="F776" s="51">
        <v>380.80028533935547</v>
      </c>
    </row>
    <row r="777" spans="1:6" x14ac:dyDescent="0.25">
      <c r="A777" t="s">
        <v>865</v>
      </c>
      <c r="B777" t="s">
        <v>96</v>
      </c>
      <c r="C777">
        <v>658</v>
      </c>
      <c r="D777" s="51">
        <v>72.290000915527344</v>
      </c>
      <c r="E777">
        <v>55</v>
      </c>
      <c r="F777" s="51">
        <v>-11376.820602416992</v>
      </c>
    </row>
    <row r="778" spans="1:6" x14ac:dyDescent="0.25">
      <c r="A778" t="s">
        <v>866</v>
      </c>
      <c r="B778" t="s">
        <v>105</v>
      </c>
      <c r="C778">
        <v>340</v>
      </c>
      <c r="D778" s="51">
        <v>37.880001068115234</v>
      </c>
      <c r="E778">
        <v>32.869999999999997</v>
      </c>
      <c r="F778" s="51">
        <v>-1703.4003631591806</v>
      </c>
    </row>
    <row r="779" spans="1:6" x14ac:dyDescent="0.25">
      <c r="A779" t="s">
        <v>867</v>
      </c>
      <c r="B779" t="s">
        <v>37</v>
      </c>
      <c r="C779">
        <v>317</v>
      </c>
      <c r="D779" s="51">
        <v>26.299999237060547</v>
      </c>
      <c r="E779">
        <v>25.24</v>
      </c>
      <c r="F779" s="51">
        <v>-336.01975814819383</v>
      </c>
    </row>
    <row r="780" spans="1:6" x14ac:dyDescent="0.25">
      <c r="A780" t="s">
        <v>868</v>
      </c>
      <c r="B780" t="s">
        <v>52</v>
      </c>
      <c r="C780">
        <v>952</v>
      </c>
      <c r="D780" s="51">
        <v>34.810001373291016</v>
      </c>
      <c r="E780">
        <v>33.89</v>
      </c>
      <c r="F780" s="51">
        <v>-875.84130737304633</v>
      </c>
    </row>
    <row r="781" spans="1:6" x14ac:dyDescent="0.25">
      <c r="A781" t="s">
        <v>869</v>
      </c>
      <c r="B781" t="s">
        <v>105</v>
      </c>
      <c r="C781">
        <v>926</v>
      </c>
      <c r="D781" s="51">
        <v>65.430000305175781</v>
      </c>
      <c r="E781">
        <v>49.77</v>
      </c>
      <c r="F781" s="51">
        <v>-14501.160282592771</v>
      </c>
    </row>
    <row r="782" spans="1:6" x14ac:dyDescent="0.25">
      <c r="A782" t="s">
        <v>870</v>
      </c>
      <c r="B782" t="s">
        <v>52</v>
      </c>
      <c r="C782">
        <v>628</v>
      </c>
      <c r="D782" s="51">
        <v>107.80999755859375</v>
      </c>
      <c r="E782">
        <v>107.25</v>
      </c>
      <c r="F782" s="51">
        <v>-351.678466796875</v>
      </c>
    </row>
    <row r="783" spans="1:6" x14ac:dyDescent="0.25">
      <c r="A783" t="s">
        <v>871</v>
      </c>
      <c r="B783" t="s">
        <v>40</v>
      </c>
      <c r="C783">
        <v>795</v>
      </c>
      <c r="D783" s="51">
        <v>46.959999084472656</v>
      </c>
      <c r="E783">
        <v>57.9</v>
      </c>
      <c r="F783" s="51">
        <v>8697.3007278442365</v>
      </c>
    </row>
    <row r="784" spans="1:6" x14ac:dyDescent="0.25">
      <c r="A784" t="s">
        <v>872</v>
      </c>
      <c r="B784" t="s">
        <v>90</v>
      </c>
      <c r="C784">
        <v>404</v>
      </c>
      <c r="D784" s="51">
        <v>96.169998168945313</v>
      </c>
      <c r="E784">
        <v>108.07</v>
      </c>
      <c r="F784" s="51">
        <v>4807.6007397460908</v>
      </c>
    </row>
    <row r="785" spans="1:6" x14ac:dyDescent="0.25">
      <c r="A785" t="s">
        <v>873</v>
      </c>
      <c r="B785" t="s">
        <v>105</v>
      </c>
      <c r="C785">
        <v>811</v>
      </c>
      <c r="D785" s="51">
        <v>54.729999542236328</v>
      </c>
      <c r="E785">
        <v>63.89</v>
      </c>
      <c r="F785" s="51">
        <v>7428.7603712463388</v>
      </c>
    </row>
    <row r="786" spans="1:6" x14ac:dyDescent="0.25">
      <c r="A786" t="s">
        <v>874</v>
      </c>
      <c r="B786" t="s">
        <v>48</v>
      </c>
      <c r="C786">
        <v>144</v>
      </c>
      <c r="D786" s="51">
        <v>90.769996643066406</v>
      </c>
      <c r="E786">
        <v>111.16</v>
      </c>
      <c r="F786" s="51">
        <v>2936.160483398437</v>
      </c>
    </row>
    <row r="787" spans="1:6" x14ac:dyDescent="0.25">
      <c r="A787" t="s">
        <v>875</v>
      </c>
      <c r="B787" t="s">
        <v>105</v>
      </c>
      <c r="C787">
        <v>939</v>
      </c>
      <c r="D787" s="51">
        <v>49.119998931884766</v>
      </c>
      <c r="E787">
        <v>47.97</v>
      </c>
      <c r="F787" s="51">
        <v>-1079.8489970397959</v>
      </c>
    </row>
    <row r="788" spans="1:6" x14ac:dyDescent="0.25">
      <c r="A788" t="s">
        <v>876</v>
      </c>
      <c r="B788" t="s">
        <v>46</v>
      </c>
      <c r="C788">
        <v>1039</v>
      </c>
      <c r="D788" s="51">
        <v>84.050003051757813</v>
      </c>
      <c r="E788">
        <v>95.3</v>
      </c>
      <c r="F788" s="51">
        <v>11688.74682922363</v>
      </c>
    </row>
    <row r="789" spans="1:6" x14ac:dyDescent="0.25">
      <c r="A789" t="s">
        <v>877</v>
      </c>
      <c r="B789" t="s">
        <v>105</v>
      </c>
      <c r="C789">
        <v>723</v>
      </c>
      <c r="D789" s="51">
        <v>17.120000839233398</v>
      </c>
      <c r="E789">
        <v>20.47</v>
      </c>
      <c r="F789" s="51">
        <v>2422.049393234252</v>
      </c>
    </row>
    <row r="790" spans="1:6" x14ac:dyDescent="0.25">
      <c r="A790" t="s">
        <v>878</v>
      </c>
      <c r="B790" t="s">
        <v>52</v>
      </c>
      <c r="C790">
        <v>109</v>
      </c>
      <c r="D790" s="51">
        <v>19.989999771118164</v>
      </c>
      <c r="E790">
        <v>19.18</v>
      </c>
      <c r="F790" s="51">
        <v>-88.289975051879907</v>
      </c>
    </row>
    <row r="791" spans="1:6" x14ac:dyDescent="0.25">
      <c r="A791" t="s">
        <v>879</v>
      </c>
      <c r="B791" t="s">
        <v>105</v>
      </c>
      <c r="C791">
        <v>785</v>
      </c>
      <c r="D791" s="51">
        <v>22.239999771118164</v>
      </c>
      <c r="E791">
        <v>21.81</v>
      </c>
      <c r="F791" s="51">
        <v>-337.54982032775979</v>
      </c>
    </row>
    <row r="792" spans="1:6" x14ac:dyDescent="0.25">
      <c r="A792" t="s">
        <v>880</v>
      </c>
      <c r="B792" t="s">
        <v>40</v>
      </c>
      <c r="C792">
        <v>703</v>
      </c>
      <c r="D792" s="51">
        <v>44.150001525878906</v>
      </c>
      <c r="E792">
        <v>34.5</v>
      </c>
      <c r="F792" s="51">
        <v>-6783.9510726928711</v>
      </c>
    </row>
    <row r="793" spans="1:6" x14ac:dyDescent="0.25">
      <c r="A793" t="s">
        <v>881</v>
      </c>
      <c r="B793" t="s">
        <v>90</v>
      </c>
      <c r="C793">
        <v>323</v>
      </c>
      <c r="D793" s="51">
        <v>54.569999694824219</v>
      </c>
      <c r="E793">
        <v>44.22</v>
      </c>
      <c r="F793" s="51">
        <v>-3343.0499014282232</v>
      </c>
    </row>
    <row r="794" spans="1:6" x14ac:dyDescent="0.25">
      <c r="A794" t="s">
        <v>882</v>
      </c>
      <c r="B794" t="s">
        <v>90</v>
      </c>
      <c r="C794">
        <v>997</v>
      </c>
      <c r="D794" s="51">
        <v>53.659999847412109</v>
      </c>
      <c r="E794">
        <v>51.07</v>
      </c>
      <c r="F794" s="51">
        <v>-2582.2298478698726</v>
      </c>
    </row>
    <row r="795" spans="1:6" x14ac:dyDescent="0.25">
      <c r="A795" t="s">
        <v>883</v>
      </c>
      <c r="B795" t="s">
        <v>90</v>
      </c>
      <c r="C795">
        <v>616</v>
      </c>
      <c r="D795" s="51">
        <v>80.760002136230469</v>
      </c>
      <c r="E795">
        <v>79.55</v>
      </c>
      <c r="F795" s="51">
        <v>-745.3613159179705</v>
      </c>
    </row>
    <row r="796" spans="1:6" x14ac:dyDescent="0.25">
      <c r="A796" t="s">
        <v>884</v>
      </c>
      <c r="B796" t="s">
        <v>46</v>
      </c>
      <c r="C796">
        <v>495</v>
      </c>
      <c r="D796" s="51">
        <v>47.180000305175781</v>
      </c>
      <c r="E796">
        <v>56.33</v>
      </c>
      <c r="F796" s="51">
        <v>4529.2498489379877</v>
      </c>
    </row>
    <row r="797" spans="1:6" x14ac:dyDescent="0.25">
      <c r="A797" t="s">
        <v>885</v>
      </c>
      <c r="B797" t="s">
        <v>52</v>
      </c>
      <c r="C797">
        <v>520</v>
      </c>
      <c r="D797" s="51">
        <v>94.019996643066406</v>
      </c>
      <c r="E797">
        <v>68.31</v>
      </c>
      <c r="F797" s="51">
        <v>-13369.198254394531</v>
      </c>
    </row>
    <row r="798" spans="1:6" x14ac:dyDescent="0.25">
      <c r="A798" t="s">
        <v>886</v>
      </c>
      <c r="B798" t="s">
        <v>43</v>
      </c>
      <c r="C798">
        <v>531</v>
      </c>
      <c r="D798" s="51">
        <v>74.970001220703125</v>
      </c>
      <c r="E798">
        <v>67.760000000000005</v>
      </c>
      <c r="F798" s="51">
        <v>-3828.5106481933567</v>
      </c>
    </row>
    <row r="799" spans="1:6" x14ac:dyDescent="0.25">
      <c r="A799" t="s">
        <v>887</v>
      </c>
      <c r="B799" t="s">
        <v>48</v>
      </c>
      <c r="C799">
        <v>968</v>
      </c>
      <c r="D799" s="51">
        <v>64.139999389648438</v>
      </c>
      <c r="E799">
        <v>56.4</v>
      </c>
      <c r="F799" s="51">
        <v>-7492.3194091796886</v>
      </c>
    </row>
    <row r="800" spans="1:6" x14ac:dyDescent="0.25">
      <c r="A800" t="s">
        <v>888</v>
      </c>
      <c r="B800" t="s">
        <v>90</v>
      </c>
      <c r="C800">
        <v>763</v>
      </c>
      <c r="D800" s="51">
        <v>88.839996337890625</v>
      </c>
      <c r="E800">
        <v>110.93</v>
      </c>
      <c r="F800" s="51">
        <v>16854.672794189457</v>
      </c>
    </row>
    <row r="801" spans="1:6" x14ac:dyDescent="0.25">
      <c r="A801" t="s">
        <v>889</v>
      </c>
      <c r="B801" t="s">
        <v>43</v>
      </c>
      <c r="C801">
        <v>474</v>
      </c>
      <c r="D801" s="51">
        <v>87.44000244140625</v>
      </c>
      <c r="E801">
        <v>105.71</v>
      </c>
      <c r="F801" s="51">
        <v>8659.9788427734347</v>
      </c>
    </row>
    <row r="802" spans="1:6" x14ac:dyDescent="0.25">
      <c r="A802" t="s">
        <v>890</v>
      </c>
      <c r="B802" t="s">
        <v>96</v>
      </c>
      <c r="C802">
        <v>682</v>
      </c>
      <c r="D802" s="51">
        <v>92.150001525878906</v>
      </c>
      <c r="E802">
        <v>116.84</v>
      </c>
      <c r="F802" s="51">
        <v>16838.578959350587</v>
      </c>
    </row>
    <row r="803" spans="1:6" x14ac:dyDescent="0.25">
      <c r="A803" t="s">
        <v>891</v>
      </c>
      <c r="B803" t="s">
        <v>43</v>
      </c>
      <c r="C803">
        <v>628</v>
      </c>
      <c r="D803" s="51">
        <v>36.830001831054688</v>
      </c>
      <c r="E803">
        <v>25.91</v>
      </c>
      <c r="F803" s="51">
        <v>-6857.7611499023433</v>
      </c>
    </row>
    <row r="804" spans="1:6" x14ac:dyDescent="0.25">
      <c r="A804" t="s">
        <v>892</v>
      </c>
      <c r="B804" t="s">
        <v>37</v>
      </c>
      <c r="C804">
        <v>104</v>
      </c>
      <c r="D804" s="51">
        <v>89.830001831054688</v>
      </c>
      <c r="E804">
        <v>105.35</v>
      </c>
      <c r="F804" s="51">
        <v>1614.0798095703119</v>
      </c>
    </row>
    <row r="805" spans="1:6" x14ac:dyDescent="0.25">
      <c r="A805" t="s">
        <v>893</v>
      </c>
      <c r="B805" t="s">
        <v>90</v>
      </c>
      <c r="C805">
        <v>597</v>
      </c>
      <c r="D805" s="51">
        <v>11.770000457763672</v>
      </c>
      <c r="E805">
        <v>10.27</v>
      </c>
      <c r="F805" s="51">
        <v>-895.5002732849124</v>
      </c>
    </row>
    <row r="806" spans="1:6" x14ac:dyDescent="0.25">
      <c r="A806" t="s">
        <v>894</v>
      </c>
      <c r="B806" t="s">
        <v>43</v>
      </c>
      <c r="C806">
        <v>674</v>
      </c>
      <c r="D806" s="51">
        <v>38.380001068115234</v>
      </c>
      <c r="E806">
        <v>32.49</v>
      </c>
      <c r="F806" s="51">
        <v>-3969.8607199096668</v>
      </c>
    </row>
    <row r="807" spans="1:6" x14ac:dyDescent="0.25">
      <c r="A807" t="s">
        <v>895</v>
      </c>
      <c r="B807" t="s">
        <v>46</v>
      </c>
      <c r="C807">
        <v>628</v>
      </c>
      <c r="D807" s="51">
        <v>88.290000915527344</v>
      </c>
      <c r="E807">
        <v>110.12</v>
      </c>
      <c r="F807" s="51">
        <v>13709.239425048831</v>
      </c>
    </row>
    <row r="808" spans="1:6" x14ac:dyDescent="0.25">
      <c r="A808" t="s">
        <v>896</v>
      </c>
      <c r="B808" t="s">
        <v>96</v>
      </c>
      <c r="C808">
        <v>365</v>
      </c>
      <c r="D808" s="51">
        <v>95.849998474121094</v>
      </c>
      <c r="E808">
        <v>71.3</v>
      </c>
      <c r="F808" s="51">
        <v>-8960.749443054201</v>
      </c>
    </row>
    <row r="809" spans="1:6" x14ac:dyDescent="0.25">
      <c r="A809" t="s">
        <v>897</v>
      </c>
      <c r="B809" t="s">
        <v>40</v>
      </c>
      <c r="C809">
        <v>547</v>
      </c>
      <c r="D809" s="51">
        <v>68.970001220703125</v>
      </c>
      <c r="E809">
        <v>60.81</v>
      </c>
      <c r="F809" s="51">
        <v>-4463.5206677246078</v>
      </c>
    </row>
    <row r="810" spans="1:6" x14ac:dyDescent="0.25">
      <c r="A810" t="s">
        <v>898</v>
      </c>
      <c r="B810" t="s">
        <v>90</v>
      </c>
      <c r="C810">
        <v>979</v>
      </c>
      <c r="D810" s="51">
        <v>71.870002746582031</v>
      </c>
      <c r="E810">
        <v>71.28</v>
      </c>
      <c r="F810" s="51">
        <v>-577.61268890380745</v>
      </c>
    </row>
    <row r="811" spans="1:6" x14ac:dyDescent="0.25">
      <c r="A811" t="s">
        <v>899</v>
      </c>
      <c r="B811" t="s">
        <v>105</v>
      </c>
      <c r="C811">
        <v>256</v>
      </c>
      <c r="D811" s="51">
        <v>32.970001220703125</v>
      </c>
      <c r="E811">
        <v>34.64</v>
      </c>
      <c r="F811" s="51">
        <v>427.51968750000015</v>
      </c>
    </row>
    <row r="812" spans="1:6" x14ac:dyDescent="0.25">
      <c r="A812" t="s">
        <v>900</v>
      </c>
      <c r="B812" t="s">
        <v>96</v>
      </c>
      <c r="C812">
        <v>645</v>
      </c>
      <c r="D812" s="51">
        <v>77.620002746582031</v>
      </c>
      <c r="E812">
        <v>84.54</v>
      </c>
      <c r="F812" s="51">
        <v>4463.3982284545937</v>
      </c>
    </row>
    <row r="813" spans="1:6" x14ac:dyDescent="0.25">
      <c r="A813" t="s">
        <v>901</v>
      </c>
      <c r="B813" t="s">
        <v>105</v>
      </c>
      <c r="C813">
        <v>235</v>
      </c>
      <c r="D813" s="51">
        <v>85.989997863769531</v>
      </c>
      <c r="E813">
        <v>64.63</v>
      </c>
      <c r="F813" s="51">
        <v>-5019.5994979858406</v>
      </c>
    </row>
    <row r="814" spans="1:6" x14ac:dyDescent="0.25">
      <c r="A814" t="s">
        <v>902</v>
      </c>
      <c r="B814" t="s">
        <v>55</v>
      </c>
      <c r="C814">
        <v>321</v>
      </c>
      <c r="D814" s="51">
        <v>75.830001831054688</v>
      </c>
      <c r="E814">
        <v>61.14</v>
      </c>
      <c r="F814" s="51">
        <v>-4715.4905877685542</v>
      </c>
    </row>
    <row r="815" spans="1:6" x14ac:dyDescent="0.25">
      <c r="A815" t="s">
        <v>903</v>
      </c>
      <c r="B815" t="s">
        <v>46</v>
      </c>
      <c r="C815">
        <v>1045</v>
      </c>
      <c r="D815" s="51">
        <v>10.319999694824219</v>
      </c>
      <c r="E815">
        <v>12.42</v>
      </c>
      <c r="F815" s="51">
        <v>2194.5003189086915</v>
      </c>
    </row>
    <row r="816" spans="1:6" x14ac:dyDescent="0.25">
      <c r="A816" t="s">
        <v>904</v>
      </c>
      <c r="B816" t="s">
        <v>52</v>
      </c>
      <c r="C816">
        <v>291</v>
      </c>
      <c r="D816" s="51">
        <v>30.819999694824219</v>
      </c>
      <c r="E816">
        <v>33.47</v>
      </c>
      <c r="F816" s="51">
        <v>771.15008880615198</v>
      </c>
    </row>
    <row r="817" spans="1:6" x14ac:dyDescent="0.25">
      <c r="A817" t="s">
        <v>905</v>
      </c>
      <c r="B817" t="s">
        <v>37</v>
      </c>
      <c r="C817">
        <v>822</v>
      </c>
      <c r="D817" s="51">
        <v>14.779999732971191</v>
      </c>
      <c r="E817">
        <v>11.04</v>
      </c>
      <c r="F817" s="51">
        <v>-3074.2797805023201</v>
      </c>
    </row>
    <row r="818" spans="1:6" x14ac:dyDescent="0.25">
      <c r="A818" t="s">
        <v>906</v>
      </c>
      <c r="B818" t="s">
        <v>43</v>
      </c>
      <c r="C818">
        <v>671</v>
      </c>
      <c r="D818" s="51">
        <v>58.459999084472656</v>
      </c>
      <c r="E818">
        <v>43.39</v>
      </c>
      <c r="F818" s="51">
        <v>-10111.969385681152</v>
      </c>
    </row>
    <row r="819" spans="1:6" x14ac:dyDescent="0.25">
      <c r="A819" t="s">
        <v>907</v>
      </c>
      <c r="B819" t="s">
        <v>52</v>
      </c>
      <c r="C819">
        <v>781</v>
      </c>
      <c r="D819" s="51">
        <v>84.790000915527344</v>
      </c>
      <c r="E819">
        <v>97.14</v>
      </c>
      <c r="F819" s="51">
        <v>9645.3492849731447</v>
      </c>
    </row>
    <row r="820" spans="1:6" x14ac:dyDescent="0.25">
      <c r="A820" t="s">
        <v>908</v>
      </c>
      <c r="B820" t="s">
        <v>48</v>
      </c>
      <c r="C820">
        <v>901</v>
      </c>
      <c r="D820" s="51">
        <v>76.169998168945313</v>
      </c>
      <c r="E820">
        <v>73.239999999999995</v>
      </c>
      <c r="F820" s="51">
        <v>-2639.9283502197313</v>
      </c>
    </row>
    <row r="821" spans="1:6" x14ac:dyDescent="0.25">
      <c r="A821" t="s">
        <v>909</v>
      </c>
      <c r="B821" t="s">
        <v>43</v>
      </c>
      <c r="C821">
        <v>717</v>
      </c>
      <c r="D821" s="51">
        <v>32.299999237060547</v>
      </c>
      <c r="E821">
        <v>41.45</v>
      </c>
      <c r="F821" s="51">
        <v>6560.5505470275903</v>
      </c>
    </row>
    <row r="822" spans="1:6" x14ac:dyDescent="0.25">
      <c r="A822" t="s">
        <v>910</v>
      </c>
      <c r="B822" t="s">
        <v>43</v>
      </c>
      <c r="C822">
        <v>252</v>
      </c>
      <c r="D822" s="51">
        <v>52.959999084472656</v>
      </c>
      <c r="E822">
        <v>42.47</v>
      </c>
      <c r="F822" s="51">
        <v>-2643.4797692871098</v>
      </c>
    </row>
    <row r="823" spans="1:6" x14ac:dyDescent="0.25">
      <c r="A823" t="s">
        <v>911</v>
      </c>
      <c r="B823" t="s">
        <v>48</v>
      </c>
      <c r="C823">
        <v>500</v>
      </c>
      <c r="D823" s="51">
        <v>45.840000152587891</v>
      </c>
      <c r="E823">
        <v>48.9</v>
      </c>
      <c r="F823" s="51">
        <v>1529.999923706054</v>
      </c>
    </row>
    <row r="824" spans="1:6" x14ac:dyDescent="0.25">
      <c r="A824" t="s">
        <v>912</v>
      </c>
      <c r="B824" t="s">
        <v>55</v>
      </c>
      <c r="C824">
        <v>322</v>
      </c>
      <c r="D824" s="51">
        <v>59.369998931884766</v>
      </c>
      <c r="E824">
        <v>64.92</v>
      </c>
      <c r="F824" s="51">
        <v>1787.1003439331059</v>
      </c>
    </row>
    <row r="825" spans="1:6" x14ac:dyDescent="0.25">
      <c r="A825" t="s">
        <v>913</v>
      </c>
      <c r="B825" t="s">
        <v>48</v>
      </c>
      <c r="C825">
        <v>581</v>
      </c>
      <c r="D825" s="51">
        <v>40.5</v>
      </c>
      <c r="E825">
        <v>45.54</v>
      </c>
      <c r="F825" s="51">
        <v>2928.2399999999993</v>
      </c>
    </row>
    <row r="826" spans="1:6" x14ac:dyDescent="0.25">
      <c r="A826" t="s">
        <v>914</v>
      </c>
      <c r="B826" t="s">
        <v>37</v>
      </c>
      <c r="C826">
        <v>537</v>
      </c>
      <c r="D826" s="51">
        <v>17.530000686645508</v>
      </c>
      <c r="E826">
        <v>19.95</v>
      </c>
      <c r="F826" s="51">
        <v>1299.5396312713619</v>
      </c>
    </row>
    <row r="827" spans="1:6" x14ac:dyDescent="0.25">
      <c r="A827" t="s">
        <v>915</v>
      </c>
      <c r="B827" t="s">
        <v>43</v>
      </c>
      <c r="C827">
        <v>486</v>
      </c>
      <c r="D827" s="51">
        <v>107.93000030517578</v>
      </c>
      <c r="E827">
        <v>76.290000000000006</v>
      </c>
      <c r="F827" s="51">
        <v>-15377.040148315427</v>
      </c>
    </row>
    <row r="828" spans="1:6" x14ac:dyDescent="0.25">
      <c r="A828" t="s">
        <v>916</v>
      </c>
      <c r="B828" t="s">
        <v>55</v>
      </c>
      <c r="C828">
        <v>652</v>
      </c>
      <c r="D828" s="51">
        <v>51.119998931884766</v>
      </c>
      <c r="E828">
        <v>41.36</v>
      </c>
      <c r="F828" s="51">
        <v>-6363.5193035888678</v>
      </c>
    </row>
    <row r="829" spans="1:6" x14ac:dyDescent="0.25">
      <c r="A829" t="s">
        <v>917</v>
      </c>
      <c r="B829" t="s">
        <v>96</v>
      </c>
      <c r="C829">
        <v>323</v>
      </c>
      <c r="D829" s="51">
        <v>66.330001831054688</v>
      </c>
      <c r="E829">
        <v>65.400000000000006</v>
      </c>
      <c r="F829" s="51">
        <v>-300.3905914306622</v>
      </c>
    </row>
    <row r="830" spans="1:6" x14ac:dyDescent="0.25">
      <c r="A830" t="s">
        <v>918</v>
      </c>
      <c r="B830" t="s">
        <v>37</v>
      </c>
      <c r="C830">
        <v>248</v>
      </c>
      <c r="D830" s="51">
        <v>35.380001068115234</v>
      </c>
      <c r="E830">
        <v>30.16</v>
      </c>
      <c r="F830" s="51">
        <v>-1294.5602648925781</v>
      </c>
    </row>
    <row r="831" spans="1:6" x14ac:dyDescent="0.25">
      <c r="A831" t="s">
        <v>919</v>
      </c>
      <c r="B831" t="s">
        <v>52</v>
      </c>
      <c r="C831">
        <v>275</v>
      </c>
      <c r="D831" s="51">
        <v>10.5</v>
      </c>
      <c r="E831">
        <v>12.14</v>
      </c>
      <c r="F831" s="51">
        <v>451.00000000000017</v>
      </c>
    </row>
    <row r="832" spans="1:6" x14ac:dyDescent="0.25">
      <c r="A832" t="s">
        <v>920</v>
      </c>
      <c r="B832" t="s">
        <v>96</v>
      </c>
      <c r="C832">
        <v>238</v>
      </c>
      <c r="D832" s="51">
        <v>47.130001068115234</v>
      </c>
      <c r="E832">
        <v>37.020000000000003</v>
      </c>
      <c r="F832" s="51">
        <v>-2406.1802542114251</v>
      </c>
    </row>
    <row r="833" spans="1:6" x14ac:dyDescent="0.25">
      <c r="A833" t="s">
        <v>921</v>
      </c>
      <c r="B833" t="s">
        <v>40</v>
      </c>
      <c r="C833">
        <v>104</v>
      </c>
      <c r="D833" s="51">
        <v>61.75</v>
      </c>
      <c r="E833">
        <v>69.92</v>
      </c>
      <c r="F833" s="51">
        <v>849.68000000000018</v>
      </c>
    </row>
    <row r="834" spans="1:6" x14ac:dyDescent="0.25">
      <c r="A834" t="s">
        <v>922</v>
      </c>
      <c r="B834" t="s">
        <v>37</v>
      </c>
      <c r="C834">
        <v>359</v>
      </c>
      <c r="D834" s="51">
        <v>14.720000267028809</v>
      </c>
      <c r="E834">
        <v>14.68</v>
      </c>
      <c r="F834" s="51">
        <v>-14.360095863342387</v>
      </c>
    </row>
    <row r="835" spans="1:6" x14ac:dyDescent="0.25">
      <c r="A835" t="s">
        <v>923</v>
      </c>
      <c r="B835" t="s">
        <v>90</v>
      </c>
      <c r="C835">
        <v>651</v>
      </c>
      <c r="D835" s="51">
        <v>18</v>
      </c>
      <c r="E835">
        <v>22.56</v>
      </c>
      <c r="F835" s="51">
        <v>2968.559999999999</v>
      </c>
    </row>
    <row r="836" spans="1:6" x14ac:dyDescent="0.25">
      <c r="A836" t="s">
        <v>924</v>
      </c>
      <c r="B836" t="s">
        <v>46</v>
      </c>
      <c r="C836">
        <v>679</v>
      </c>
      <c r="D836" s="51">
        <v>68.089996337890625</v>
      </c>
      <c r="E836">
        <v>85.12</v>
      </c>
      <c r="F836" s="51">
        <v>11563.372486572269</v>
      </c>
    </row>
    <row r="837" spans="1:6" x14ac:dyDescent="0.25">
      <c r="A837" t="s">
        <v>925</v>
      </c>
      <c r="B837" t="s">
        <v>37</v>
      </c>
      <c r="C837">
        <v>334</v>
      </c>
      <c r="D837" s="51">
        <v>103.70999908447266</v>
      </c>
      <c r="E837">
        <v>80.72</v>
      </c>
      <c r="F837" s="51">
        <v>-7678.6596942138676</v>
      </c>
    </row>
    <row r="838" spans="1:6" x14ac:dyDescent="0.25">
      <c r="A838" t="s">
        <v>926</v>
      </c>
      <c r="B838" t="s">
        <v>105</v>
      </c>
      <c r="C838">
        <v>92</v>
      </c>
      <c r="D838" s="51">
        <v>88.730003356933594</v>
      </c>
      <c r="E838">
        <v>86.61</v>
      </c>
      <c r="F838" s="51">
        <v>-195.04030883789068</v>
      </c>
    </row>
    <row r="839" spans="1:6" x14ac:dyDescent="0.25">
      <c r="A839" t="s">
        <v>927</v>
      </c>
      <c r="B839" t="s">
        <v>52</v>
      </c>
      <c r="C839">
        <v>650</v>
      </c>
      <c r="D839" s="51">
        <v>19.899999618530273</v>
      </c>
      <c r="E839">
        <v>23.66</v>
      </c>
      <c r="F839" s="51">
        <v>2444.0002479553223</v>
      </c>
    </row>
    <row r="840" spans="1:6" x14ac:dyDescent="0.25">
      <c r="A840" t="s">
        <v>928</v>
      </c>
      <c r="B840" t="s">
        <v>105</v>
      </c>
      <c r="C840">
        <v>822</v>
      </c>
      <c r="D840" s="51">
        <v>59.709999084472656</v>
      </c>
      <c r="E840">
        <v>46.6</v>
      </c>
      <c r="F840" s="51">
        <v>-10776.419247436523</v>
      </c>
    </row>
    <row r="841" spans="1:6" x14ac:dyDescent="0.25">
      <c r="A841" t="s">
        <v>929</v>
      </c>
      <c r="B841" t="s">
        <v>52</v>
      </c>
      <c r="C841">
        <v>674</v>
      </c>
      <c r="D841" s="51">
        <v>94.160003662109375</v>
      </c>
      <c r="E841">
        <v>102.55</v>
      </c>
      <c r="F841" s="51">
        <v>5654.8575317382792</v>
      </c>
    </row>
    <row r="842" spans="1:6" x14ac:dyDescent="0.25">
      <c r="A842" t="s">
        <v>930</v>
      </c>
      <c r="B842" t="s">
        <v>40</v>
      </c>
      <c r="C842">
        <v>919</v>
      </c>
      <c r="D842" s="51">
        <v>15.630000114440918</v>
      </c>
      <c r="E842">
        <v>14.69</v>
      </c>
      <c r="F842" s="51">
        <v>-863.86010517120405</v>
      </c>
    </row>
    <row r="843" spans="1:6" x14ac:dyDescent="0.25">
      <c r="A843" t="s">
        <v>931</v>
      </c>
      <c r="B843" t="s">
        <v>48</v>
      </c>
      <c r="C843">
        <v>558</v>
      </c>
      <c r="D843" s="51">
        <v>30.639999389648438</v>
      </c>
      <c r="E843">
        <v>21.55</v>
      </c>
      <c r="F843" s="51">
        <v>-5072.2196594238276</v>
      </c>
    </row>
    <row r="844" spans="1:6" x14ac:dyDescent="0.25">
      <c r="A844" t="s">
        <v>932</v>
      </c>
      <c r="B844" t="s">
        <v>55</v>
      </c>
      <c r="C844">
        <v>764</v>
      </c>
      <c r="D844" s="51">
        <v>92.69000244140625</v>
      </c>
      <c r="E844">
        <v>102.3</v>
      </c>
      <c r="F844" s="51">
        <v>7342.038134765623</v>
      </c>
    </row>
    <row r="845" spans="1:6" x14ac:dyDescent="0.25">
      <c r="A845" t="s">
        <v>933</v>
      </c>
      <c r="B845" t="s">
        <v>46</v>
      </c>
      <c r="C845">
        <v>1033</v>
      </c>
      <c r="D845" s="51">
        <v>60.060001373291016</v>
      </c>
      <c r="E845">
        <v>58.82</v>
      </c>
      <c r="F845" s="51">
        <v>-1280.9214186096187</v>
      </c>
    </row>
    <row r="846" spans="1:6" x14ac:dyDescent="0.25">
      <c r="A846" t="s">
        <v>934</v>
      </c>
      <c r="B846" t="s">
        <v>105</v>
      </c>
      <c r="C846">
        <v>564</v>
      </c>
      <c r="D846" s="51">
        <v>78.629997253417969</v>
      </c>
      <c r="E846">
        <v>93.72</v>
      </c>
      <c r="F846" s="51">
        <v>8510.7615490722656</v>
      </c>
    </row>
    <row r="847" spans="1:6" x14ac:dyDescent="0.25">
      <c r="A847" t="s">
        <v>935</v>
      </c>
      <c r="B847" t="s">
        <v>43</v>
      </c>
      <c r="C847">
        <v>908</v>
      </c>
      <c r="D847" s="51">
        <v>89.680000305175781</v>
      </c>
      <c r="E847">
        <v>79.44</v>
      </c>
      <c r="F847" s="51">
        <v>-9297.9202770996108</v>
      </c>
    </row>
    <row r="848" spans="1:6" x14ac:dyDescent="0.25">
      <c r="A848" t="s">
        <v>936</v>
      </c>
      <c r="B848" t="s">
        <v>52</v>
      </c>
      <c r="C848">
        <v>854</v>
      </c>
      <c r="D848" s="51">
        <v>62.740001678466797</v>
      </c>
      <c r="E848">
        <v>68.84</v>
      </c>
      <c r="F848" s="51">
        <v>5209.3985665893588</v>
      </c>
    </row>
    <row r="849" spans="1:6" x14ac:dyDescent="0.25">
      <c r="A849" t="s">
        <v>937</v>
      </c>
      <c r="B849" t="s">
        <v>37</v>
      </c>
      <c r="C849">
        <v>571</v>
      </c>
      <c r="D849" s="51">
        <v>53.349998474121094</v>
      </c>
      <c r="E849">
        <v>38.090000000000003</v>
      </c>
      <c r="F849" s="51">
        <v>-8713.4591287231433</v>
      </c>
    </row>
    <row r="850" spans="1:6" x14ac:dyDescent="0.25">
      <c r="A850" t="s">
        <v>938</v>
      </c>
      <c r="B850" t="s">
        <v>96</v>
      </c>
      <c r="C850">
        <v>998</v>
      </c>
      <c r="D850" s="51">
        <v>85.910003662109375</v>
      </c>
      <c r="E850">
        <v>84.54</v>
      </c>
      <c r="F850" s="51">
        <v>-1367.26365478515</v>
      </c>
    </row>
    <row r="851" spans="1:6" x14ac:dyDescent="0.25">
      <c r="A851" t="s">
        <v>939</v>
      </c>
      <c r="B851" t="s">
        <v>40</v>
      </c>
      <c r="C851">
        <v>487</v>
      </c>
      <c r="D851" s="51">
        <v>61.470001220703125</v>
      </c>
      <c r="E851">
        <v>72.3</v>
      </c>
      <c r="F851" s="51">
        <v>5274.2094055175767</v>
      </c>
    </row>
    <row r="852" spans="1:6" x14ac:dyDescent="0.25">
      <c r="A852" t="s">
        <v>940</v>
      </c>
      <c r="B852" t="s">
        <v>43</v>
      </c>
      <c r="C852">
        <v>689</v>
      </c>
      <c r="D852" s="51">
        <v>90.55999755859375</v>
      </c>
      <c r="E852">
        <v>89.52</v>
      </c>
      <c r="F852" s="51">
        <v>-716.55831787109651</v>
      </c>
    </row>
    <row r="853" spans="1:6" x14ac:dyDescent="0.25">
      <c r="A853" t="s">
        <v>941</v>
      </c>
      <c r="B853" t="s">
        <v>55</v>
      </c>
      <c r="C853">
        <v>699</v>
      </c>
      <c r="D853" s="51">
        <v>51</v>
      </c>
      <c r="E853">
        <v>36.090000000000003</v>
      </c>
      <c r="F853" s="51">
        <v>-10422.089999999998</v>
      </c>
    </row>
    <row r="854" spans="1:6" x14ac:dyDescent="0.25">
      <c r="A854" t="s">
        <v>942</v>
      </c>
      <c r="B854" t="s">
        <v>46</v>
      </c>
      <c r="C854">
        <v>445</v>
      </c>
      <c r="D854" s="51">
        <v>70.69000244140625</v>
      </c>
      <c r="E854">
        <v>64.94</v>
      </c>
      <c r="F854" s="51">
        <v>-2558.7510864257824</v>
      </c>
    </row>
    <row r="855" spans="1:6" x14ac:dyDescent="0.25">
      <c r="A855" t="s">
        <v>943</v>
      </c>
      <c r="B855" t="s">
        <v>55</v>
      </c>
      <c r="C855">
        <v>329</v>
      </c>
      <c r="D855" s="51">
        <v>35.459999084472656</v>
      </c>
      <c r="E855">
        <v>41.29</v>
      </c>
      <c r="F855" s="51">
        <v>1918.0703012084957</v>
      </c>
    </row>
    <row r="856" spans="1:6" x14ac:dyDescent="0.25">
      <c r="A856" t="s">
        <v>944</v>
      </c>
      <c r="B856" t="s">
        <v>40</v>
      </c>
      <c r="C856">
        <v>116</v>
      </c>
      <c r="D856" s="51">
        <v>21.860000610351563</v>
      </c>
      <c r="E856">
        <v>25.24</v>
      </c>
      <c r="F856" s="51">
        <v>392.07992919921855</v>
      </c>
    </row>
    <row r="857" spans="1:6" x14ac:dyDescent="0.25">
      <c r="A857" t="s">
        <v>945</v>
      </c>
      <c r="B857" t="s">
        <v>43</v>
      </c>
      <c r="C857">
        <v>77</v>
      </c>
      <c r="D857" s="51">
        <v>54.950000762939453</v>
      </c>
      <c r="E857">
        <v>50.85</v>
      </c>
      <c r="F857" s="51">
        <v>-315.70005874633779</v>
      </c>
    </row>
    <row r="858" spans="1:6" x14ac:dyDescent="0.25">
      <c r="A858" t="s">
        <v>946</v>
      </c>
      <c r="B858" t="s">
        <v>105</v>
      </c>
      <c r="C858">
        <v>377</v>
      </c>
      <c r="D858" s="51">
        <v>91.180000305175781</v>
      </c>
      <c r="E858">
        <v>104.7</v>
      </c>
      <c r="F858" s="51">
        <v>5097.0398849487319</v>
      </c>
    </row>
    <row r="859" spans="1:6" x14ac:dyDescent="0.25">
      <c r="A859" t="s">
        <v>947</v>
      </c>
      <c r="B859" t="s">
        <v>52</v>
      </c>
      <c r="C859">
        <v>720</v>
      </c>
      <c r="D859" s="51">
        <v>26.110000610351563</v>
      </c>
      <c r="E859">
        <v>31.08</v>
      </c>
      <c r="F859" s="51">
        <v>3578.3995605468735</v>
      </c>
    </row>
    <row r="860" spans="1:6" x14ac:dyDescent="0.25">
      <c r="A860" t="s">
        <v>948</v>
      </c>
      <c r="B860" t="s">
        <v>43</v>
      </c>
      <c r="C860">
        <v>233</v>
      </c>
      <c r="D860" s="51">
        <v>27.329999923706055</v>
      </c>
      <c r="E860">
        <v>25.23</v>
      </c>
      <c r="F860" s="51">
        <v>-489.29998222351065</v>
      </c>
    </row>
    <row r="861" spans="1:6" x14ac:dyDescent="0.25">
      <c r="A861" t="s">
        <v>949</v>
      </c>
      <c r="B861" t="s">
        <v>96</v>
      </c>
      <c r="C861">
        <v>614</v>
      </c>
      <c r="D861" s="51">
        <v>92.160003662109375</v>
      </c>
      <c r="E861">
        <v>81.28</v>
      </c>
      <c r="F861" s="51">
        <v>-6680.3222485351553</v>
      </c>
    </row>
    <row r="862" spans="1:6" x14ac:dyDescent="0.25">
      <c r="A862" t="s">
        <v>950</v>
      </c>
      <c r="B862" t="s">
        <v>105</v>
      </c>
      <c r="C862">
        <v>517</v>
      </c>
      <c r="D862" s="51">
        <v>30.559999465942383</v>
      </c>
      <c r="E862">
        <v>23.69</v>
      </c>
      <c r="F862" s="51">
        <v>-3551.7897238922114</v>
      </c>
    </row>
    <row r="863" spans="1:6" x14ac:dyDescent="0.25">
      <c r="A863" t="s">
        <v>951</v>
      </c>
      <c r="B863" t="s">
        <v>55</v>
      </c>
      <c r="C863">
        <v>195</v>
      </c>
      <c r="D863" s="51">
        <v>72.870002746582031</v>
      </c>
      <c r="E863">
        <v>83.36</v>
      </c>
      <c r="F863" s="51">
        <v>2045.5494644165037</v>
      </c>
    </row>
    <row r="864" spans="1:6" x14ac:dyDescent="0.25">
      <c r="A864" t="s">
        <v>952</v>
      </c>
      <c r="B864" t="s">
        <v>52</v>
      </c>
      <c r="C864">
        <v>389</v>
      </c>
      <c r="D864" s="51">
        <v>102.68000030517578</v>
      </c>
      <c r="E864">
        <v>99.75</v>
      </c>
      <c r="F864" s="51">
        <v>-1139.7701187133789</v>
      </c>
    </row>
    <row r="865" spans="1:6" x14ac:dyDescent="0.25">
      <c r="A865" t="s">
        <v>953</v>
      </c>
      <c r="B865" t="s">
        <v>55</v>
      </c>
      <c r="C865">
        <v>472</v>
      </c>
      <c r="D865" s="51">
        <v>14.579999923706055</v>
      </c>
      <c r="E865">
        <v>12.28</v>
      </c>
      <c r="F865" s="51">
        <v>-1085.5999639892582</v>
      </c>
    </row>
    <row r="866" spans="1:6" x14ac:dyDescent="0.25">
      <c r="A866" t="s">
        <v>954</v>
      </c>
      <c r="B866" t="s">
        <v>43</v>
      </c>
      <c r="C866">
        <v>837</v>
      </c>
      <c r="D866" s="51">
        <v>97.050003051757813</v>
      </c>
      <c r="E866">
        <v>82.64</v>
      </c>
      <c r="F866" s="51">
        <v>-12061.172554321289</v>
      </c>
    </row>
    <row r="867" spans="1:6" x14ac:dyDescent="0.25">
      <c r="A867" t="s">
        <v>955</v>
      </c>
      <c r="B867" t="s">
        <v>96</v>
      </c>
      <c r="C867">
        <v>538</v>
      </c>
      <c r="D867" s="51">
        <v>40.189998626708984</v>
      </c>
      <c r="E867">
        <v>42.79</v>
      </c>
      <c r="F867" s="51">
        <v>1398.8007388305659</v>
      </c>
    </row>
    <row r="868" spans="1:6" x14ac:dyDescent="0.25">
      <c r="A868" t="s">
        <v>956</v>
      </c>
      <c r="B868" t="s">
        <v>43</v>
      </c>
      <c r="C868">
        <v>180</v>
      </c>
      <c r="D868" s="51">
        <v>68.610000610351563</v>
      </c>
      <c r="E868">
        <v>63.58</v>
      </c>
      <c r="F868" s="51">
        <v>-905.40010986328161</v>
      </c>
    </row>
    <row r="869" spans="1:6" x14ac:dyDescent="0.25">
      <c r="A869" t="s">
        <v>957</v>
      </c>
      <c r="B869" t="s">
        <v>46</v>
      </c>
      <c r="C869">
        <v>60</v>
      </c>
      <c r="D869" s="51">
        <v>99.169998168945313</v>
      </c>
      <c r="E869">
        <v>121.09</v>
      </c>
      <c r="F869" s="51">
        <v>1315.2001098632813</v>
      </c>
    </row>
    <row r="870" spans="1:6" x14ac:dyDescent="0.25">
      <c r="A870" t="s">
        <v>958</v>
      </c>
      <c r="B870" t="s">
        <v>105</v>
      </c>
      <c r="C870">
        <v>561</v>
      </c>
      <c r="D870" s="51">
        <v>23.850000381469727</v>
      </c>
      <c r="E870">
        <v>18.600000000000001</v>
      </c>
      <c r="F870" s="51">
        <v>-2945.2502140045158</v>
      </c>
    </row>
    <row r="871" spans="1:6" x14ac:dyDescent="0.25">
      <c r="A871" t="s">
        <v>959</v>
      </c>
      <c r="B871" t="s">
        <v>46</v>
      </c>
      <c r="C871">
        <v>786</v>
      </c>
      <c r="D871" s="51">
        <v>17.530000686645508</v>
      </c>
      <c r="E871">
        <v>20.03</v>
      </c>
      <c r="F871" s="51">
        <v>1964.9994602966317</v>
      </c>
    </row>
    <row r="872" spans="1:6" x14ac:dyDescent="0.25">
      <c r="A872" t="s">
        <v>960</v>
      </c>
      <c r="B872" t="s">
        <v>48</v>
      </c>
      <c r="C872">
        <v>454</v>
      </c>
      <c r="D872" s="51">
        <v>70.830001831054688</v>
      </c>
      <c r="E872">
        <v>82.61</v>
      </c>
      <c r="F872" s="51">
        <v>5348.1191687011715</v>
      </c>
    </row>
    <row r="873" spans="1:6" x14ac:dyDescent="0.25">
      <c r="A873" t="s">
        <v>961</v>
      </c>
      <c r="B873" t="s">
        <v>55</v>
      </c>
      <c r="C873">
        <v>1039</v>
      </c>
      <c r="D873" s="51">
        <v>47.869998931884766</v>
      </c>
      <c r="E873">
        <v>37.5</v>
      </c>
      <c r="F873" s="51">
        <v>-10774.428890228271</v>
      </c>
    </row>
    <row r="874" spans="1:6" x14ac:dyDescent="0.25">
      <c r="A874" t="s">
        <v>962</v>
      </c>
      <c r="B874" t="s">
        <v>105</v>
      </c>
      <c r="C874">
        <v>160</v>
      </c>
      <c r="D874" s="51">
        <v>69.160003662109375</v>
      </c>
      <c r="E874">
        <v>49.28</v>
      </c>
      <c r="F874" s="51">
        <v>-3180.8005859374998</v>
      </c>
    </row>
    <row r="875" spans="1:6" x14ac:dyDescent="0.25">
      <c r="A875" t="s">
        <v>963</v>
      </c>
      <c r="B875" t="s">
        <v>90</v>
      </c>
      <c r="C875">
        <v>223</v>
      </c>
      <c r="D875" s="51">
        <v>19.340000152587891</v>
      </c>
      <c r="E875">
        <v>21.62</v>
      </c>
      <c r="F875" s="51">
        <v>508.43996597290061</v>
      </c>
    </row>
    <row r="876" spans="1:6" x14ac:dyDescent="0.25">
      <c r="A876" t="s">
        <v>964</v>
      </c>
      <c r="B876" t="s">
        <v>52</v>
      </c>
      <c r="C876">
        <v>309</v>
      </c>
      <c r="D876" s="51">
        <v>80.029998779296875</v>
      </c>
      <c r="E876">
        <v>81.430000000000007</v>
      </c>
      <c r="F876" s="51">
        <v>432.60037719726773</v>
      </c>
    </row>
    <row r="877" spans="1:6" x14ac:dyDescent="0.25">
      <c r="A877" t="s">
        <v>965</v>
      </c>
      <c r="B877" t="s">
        <v>46</v>
      </c>
      <c r="C877">
        <v>318</v>
      </c>
      <c r="D877" s="51">
        <v>87.639999389648438</v>
      </c>
      <c r="E877">
        <v>73.94</v>
      </c>
      <c r="F877" s="51">
        <v>-4356.599805908204</v>
      </c>
    </row>
    <row r="878" spans="1:6" x14ac:dyDescent="0.25">
      <c r="A878" t="s">
        <v>966</v>
      </c>
      <c r="B878" t="s">
        <v>40</v>
      </c>
      <c r="C878">
        <v>358</v>
      </c>
      <c r="D878" s="51">
        <v>16.180000305175781</v>
      </c>
      <c r="E878">
        <v>15.4</v>
      </c>
      <c r="F878" s="51">
        <v>-279.24010925292959</v>
      </c>
    </row>
    <row r="879" spans="1:6" x14ac:dyDescent="0.25">
      <c r="A879" t="s">
        <v>967</v>
      </c>
      <c r="B879" t="s">
        <v>43</v>
      </c>
      <c r="C879">
        <v>384</v>
      </c>
      <c r="D879" s="51">
        <v>85.069999694824219</v>
      </c>
      <c r="E879">
        <v>74.849999999999994</v>
      </c>
      <c r="F879" s="51">
        <v>-3924.4798828125022</v>
      </c>
    </row>
    <row r="880" spans="1:6" x14ac:dyDescent="0.25">
      <c r="A880" t="s">
        <v>968</v>
      </c>
      <c r="B880" t="s">
        <v>96</v>
      </c>
      <c r="C880">
        <v>93</v>
      </c>
      <c r="D880" s="51">
        <v>91.930000305175781</v>
      </c>
      <c r="E880">
        <v>106.45</v>
      </c>
      <c r="F880" s="51">
        <v>1350.3599716186527</v>
      </c>
    </row>
    <row r="881" spans="1:6" x14ac:dyDescent="0.25">
      <c r="A881" t="s">
        <v>969</v>
      </c>
      <c r="B881" t="s">
        <v>90</v>
      </c>
      <c r="C881">
        <v>58</v>
      </c>
      <c r="D881" s="51">
        <v>70.44000244140625</v>
      </c>
      <c r="E881">
        <v>75.180000000000007</v>
      </c>
      <c r="F881" s="51">
        <v>274.9198583984379</v>
      </c>
    </row>
    <row r="882" spans="1:6" x14ac:dyDescent="0.25">
      <c r="A882" t="s">
        <v>970</v>
      </c>
      <c r="B882" t="s">
        <v>90</v>
      </c>
      <c r="C882">
        <v>127</v>
      </c>
      <c r="D882" s="51">
        <v>73.129997253417969</v>
      </c>
      <c r="E882">
        <v>54.85</v>
      </c>
      <c r="F882" s="51">
        <v>-2321.5596511840818</v>
      </c>
    </row>
    <row r="883" spans="1:6" x14ac:dyDescent="0.25">
      <c r="A883" t="s">
        <v>971</v>
      </c>
      <c r="B883" t="s">
        <v>37</v>
      </c>
      <c r="C883">
        <v>55</v>
      </c>
      <c r="D883" s="51">
        <v>79.169998168945313</v>
      </c>
      <c r="E883">
        <v>84.6</v>
      </c>
      <c r="F883" s="51">
        <v>298.65010070800747</v>
      </c>
    </row>
    <row r="884" spans="1:6" x14ac:dyDescent="0.25">
      <c r="A884" t="s">
        <v>972</v>
      </c>
      <c r="B884" t="s">
        <v>40</v>
      </c>
      <c r="C884">
        <v>402</v>
      </c>
      <c r="D884" s="51">
        <v>27.219999313354492</v>
      </c>
      <c r="E884">
        <v>33.06</v>
      </c>
      <c r="F884" s="51">
        <v>2347.6802760314949</v>
      </c>
    </row>
    <row r="885" spans="1:6" x14ac:dyDescent="0.25">
      <c r="A885" t="s">
        <v>973</v>
      </c>
      <c r="B885" t="s">
        <v>37</v>
      </c>
      <c r="C885">
        <v>669</v>
      </c>
      <c r="D885" s="51">
        <v>73.220001220703125</v>
      </c>
      <c r="E885">
        <v>92.89</v>
      </c>
      <c r="F885" s="51">
        <v>13159.229183349609</v>
      </c>
    </row>
    <row r="886" spans="1:6" x14ac:dyDescent="0.25">
      <c r="A886" t="s">
        <v>974</v>
      </c>
      <c r="B886" t="s">
        <v>55</v>
      </c>
      <c r="C886">
        <v>689</v>
      </c>
      <c r="D886" s="51">
        <v>73.19000244140625</v>
      </c>
      <c r="E886">
        <v>51.94</v>
      </c>
      <c r="F886" s="51">
        <v>-14641.251682128908</v>
      </c>
    </row>
    <row r="887" spans="1:6" x14ac:dyDescent="0.25">
      <c r="A887" t="s">
        <v>975</v>
      </c>
      <c r="B887" t="s">
        <v>52</v>
      </c>
      <c r="C887">
        <v>271</v>
      </c>
      <c r="D887" s="51">
        <v>91.099998474121094</v>
      </c>
      <c r="E887">
        <v>116.06</v>
      </c>
      <c r="F887" s="51">
        <v>6764.1604135131838</v>
      </c>
    </row>
    <row r="888" spans="1:6" x14ac:dyDescent="0.25">
      <c r="A888" t="s">
        <v>976</v>
      </c>
      <c r="B888" t="s">
        <v>52</v>
      </c>
      <c r="C888">
        <v>86</v>
      </c>
      <c r="D888" s="51">
        <v>31.610000610351563</v>
      </c>
      <c r="E888">
        <v>30.51</v>
      </c>
      <c r="F888" s="51">
        <v>-94.600052490234248</v>
      </c>
    </row>
    <row r="889" spans="1:6" x14ac:dyDescent="0.25">
      <c r="A889" t="s">
        <v>977</v>
      </c>
      <c r="B889" t="s">
        <v>43</v>
      </c>
      <c r="C889">
        <v>811</v>
      </c>
      <c r="D889" s="51">
        <v>97.919998168945313</v>
      </c>
      <c r="E889">
        <v>79.599999999999994</v>
      </c>
      <c r="F889" s="51">
        <v>-14857.518515014654</v>
      </c>
    </row>
    <row r="890" spans="1:6" x14ac:dyDescent="0.25">
      <c r="A890" t="s">
        <v>978</v>
      </c>
      <c r="B890" t="s">
        <v>96</v>
      </c>
      <c r="C890">
        <v>518</v>
      </c>
      <c r="D890" s="51">
        <v>74.580001831054688</v>
      </c>
      <c r="E890">
        <v>73.3</v>
      </c>
      <c r="F890" s="51">
        <v>-663.04094848632963</v>
      </c>
    </row>
    <row r="891" spans="1:6" x14ac:dyDescent="0.25">
      <c r="A891" t="s">
        <v>979</v>
      </c>
      <c r="B891" t="s">
        <v>55</v>
      </c>
      <c r="C891">
        <v>317</v>
      </c>
      <c r="D891" s="51">
        <v>35.319999694824219</v>
      </c>
      <c r="E891">
        <v>43.65</v>
      </c>
      <c r="F891" s="51">
        <v>2640.6100967407224</v>
      </c>
    </row>
    <row r="892" spans="1:6" x14ac:dyDescent="0.25">
      <c r="A892" t="s">
        <v>980</v>
      </c>
      <c r="B892" t="s">
        <v>90</v>
      </c>
      <c r="C892">
        <v>241</v>
      </c>
      <c r="D892" s="51">
        <v>75.800003051757813</v>
      </c>
      <c r="E892">
        <v>71</v>
      </c>
      <c r="F892" s="51">
        <v>-1156.8007354736328</v>
      </c>
    </row>
    <row r="893" spans="1:6" x14ac:dyDescent="0.25">
      <c r="A893" t="s">
        <v>981</v>
      </c>
      <c r="B893" t="s">
        <v>52</v>
      </c>
      <c r="C893">
        <v>394</v>
      </c>
      <c r="D893" s="51">
        <v>71.510002136230469</v>
      </c>
      <c r="E893">
        <v>72.56</v>
      </c>
      <c r="F893" s="51">
        <v>413.69915832519621</v>
      </c>
    </row>
    <row r="894" spans="1:6" x14ac:dyDescent="0.25">
      <c r="A894" t="s">
        <v>982</v>
      </c>
      <c r="B894" t="s">
        <v>48</v>
      </c>
      <c r="C894">
        <v>337</v>
      </c>
      <c r="D894" s="51">
        <v>60.5</v>
      </c>
      <c r="E894">
        <v>76.959999999999994</v>
      </c>
      <c r="F894" s="51">
        <v>5547.0199999999977</v>
      </c>
    </row>
    <row r="895" spans="1:6" x14ac:dyDescent="0.25">
      <c r="A895" t="s">
        <v>983</v>
      </c>
      <c r="B895" t="s">
        <v>96</v>
      </c>
      <c r="C895">
        <v>727</v>
      </c>
      <c r="D895" s="51">
        <v>51.259998321533203</v>
      </c>
      <c r="E895">
        <v>43.25</v>
      </c>
      <c r="F895" s="51">
        <v>-5823.2687797546387</v>
      </c>
    </row>
    <row r="896" spans="1:6" x14ac:dyDescent="0.25">
      <c r="A896" t="s">
        <v>984</v>
      </c>
      <c r="B896" t="s">
        <v>48</v>
      </c>
      <c r="C896">
        <v>215</v>
      </c>
      <c r="D896" s="51">
        <v>55.490001678466797</v>
      </c>
      <c r="E896">
        <v>66.959999999999994</v>
      </c>
      <c r="F896" s="51">
        <v>2466.0496391296374</v>
      </c>
    </row>
    <row r="897" spans="1:6" x14ac:dyDescent="0.25">
      <c r="A897" t="s">
        <v>985</v>
      </c>
      <c r="B897" t="s">
        <v>40</v>
      </c>
      <c r="C897">
        <v>579</v>
      </c>
      <c r="D897" s="51">
        <v>45.930000305175781</v>
      </c>
      <c r="E897">
        <v>43.13</v>
      </c>
      <c r="F897" s="51">
        <v>-1621.2001766967758</v>
      </c>
    </row>
    <row r="898" spans="1:6" x14ac:dyDescent="0.25">
      <c r="A898" t="s">
        <v>986</v>
      </c>
      <c r="B898" t="s">
        <v>48</v>
      </c>
      <c r="C898">
        <v>116</v>
      </c>
      <c r="D898" s="51">
        <v>39.150001525878906</v>
      </c>
      <c r="E898">
        <v>32.479999999999997</v>
      </c>
      <c r="F898" s="51">
        <v>-773.72017700195352</v>
      </c>
    </row>
    <row r="899" spans="1:6" x14ac:dyDescent="0.25">
      <c r="A899" t="s">
        <v>987</v>
      </c>
      <c r="B899" t="s">
        <v>48</v>
      </c>
      <c r="C899">
        <v>288</v>
      </c>
      <c r="D899" s="51">
        <v>103.40000152587891</v>
      </c>
      <c r="E899">
        <v>76.31</v>
      </c>
      <c r="F899" s="51">
        <v>-7801.9204394531243</v>
      </c>
    </row>
    <row r="900" spans="1:6" x14ac:dyDescent="0.25">
      <c r="A900" t="s">
        <v>988</v>
      </c>
      <c r="B900" t="s">
        <v>105</v>
      </c>
      <c r="C900">
        <v>606</v>
      </c>
      <c r="D900" s="51">
        <v>91.400001525878906</v>
      </c>
      <c r="E900">
        <v>73.34</v>
      </c>
      <c r="F900" s="51">
        <v>-10944.360924682614</v>
      </c>
    </row>
    <row r="901" spans="1:6" x14ac:dyDescent="0.25">
      <c r="A901" t="s">
        <v>989</v>
      </c>
      <c r="B901" t="s">
        <v>52</v>
      </c>
      <c r="C901">
        <v>775</v>
      </c>
      <c r="D901" s="51">
        <v>98.139999389648438</v>
      </c>
      <c r="E901">
        <v>98.19</v>
      </c>
      <c r="F901" s="51">
        <v>38.750473022459175</v>
      </c>
    </row>
    <row r="902" spans="1:6" x14ac:dyDescent="0.25">
      <c r="A902" t="s">
        <v>990</v>
      </c>
      <c r="B902" t="s">
        <v>37</v>
      </c>
      <c r="C902">
        <v>81</v>
      </c>
      <c r="D902" s="51">
        <v>43.729999542236328</v>
      </c>
      <c r="E902">
        <v>37.520000000000003</v>
      </c>
      <c r="F902" s="51">
        <v>-503.00996292114235</v>
      </c>
    </row>
    <row r="903" spans="1:6" x14ac:dyDescent="0.25">
      <c r="A903" t="s">
        <v>991</v>
      </c>
      <c r="B903" t="s">
        <v>55</v>
      </c>
      <c r="C903">
        <v>1035</v>
      </c>
      <c r="D903" s="51">
        <v>81.180000305175781</v>
      </c>
      <c r="E903">
        <v>89.96</v>
      </c>
      <c r="F903" s="51">
        <v>9087.2996841430595</v>
      </c>
    </row>
    <row r="904" spans="1:6" x14ac:dyDescent="0.25">
      <c r="A904" t="s">
        <v>992</v>
      </c>
      <c r="B904" t="s">
        <v>37</v>
      </c>
      <c r="C904">
        <v>262</v>
      </c>
      <c r="D904" s="51">
        <v>29.209999084472656</v>
      </c>
      <c r="E904">
        <v>20.48</v>
      </c>
      <c r="F904" s="51">
        <v>-2287.2597601318357</v>
      </c>
    </row>
    <row r="905" spans="1:6" x14ac:dyDescent="0.25">
      <c r="A905" t="s">
        <v>993</v>
      </c>
      <c r="B905" t="s">
        <v>37</v>
      </c>
      <c r="C905">
        <v>643</v>
      </c>
      <c r="D905" s="51">
        <v>30.100000381469727</v>
      </c>
      <c r="E905">
        <v>35.04</v>
      </c>
      <c r="F905" s="51">
        <v>3176.4197547149652</v>
      </c>
    </row>
    <row r="906" spans="1:6" x14ac:dyDescent="0.25">
      <c r="A906" t="s">
        <v>994</v>
      </c>
      <c r="B906" t="s">
        <v>40</v>
      </c>
      <c r="C906">
        <v>702</v>
      </c>
      <c r="D906" s="51">
        <v>32.450000762939453</v>
      </c>
      <c r="E906">
        <v>29.51</v>
      </c>
      <c r="F906" s="51">
        <v>-2063.8805355834952</v>
      </c>
    </row>
    <row r="907" spans="1:6" x14ac:dyDescent="0.25">
      <c r="A907" t="s">
        <v>995</v>
      </c>
      <c r="B907" t="s">
        <v>43</v>
      </c>
      <c r="C907">
        <v>251</v>
      </c>
      <c r="D907" s="51">
        <v>99.050003051757813</v>
      </c>
      <c r="E907">
        <v>108.36</v>
      </c>
      <c r="F907" s="51">
        <v>2336.8092340087887</v>
      </c>
    </row>
    <row r="908" spans="1:6" x14ac:dyDescent="0.25">
      <c r="A908" t="s">
        <v>996</v>
      </c>
      <c r="B908" t="s">
        <v>40</v>
      </c>
      <c r="C908">
        <v>280</v>
      </c>
      <c r="D908" s="51">
        <v>39.639999389648438</v>
      </c>
      <c r="E908">
        <v>32.93</v>
      </c>
      <c r="F908" s="51">
        <v>-1878.7998291015626</v>
      </c>
    </row>
    <row r="909" spans="1:6" x14ac:dyDescent="0.25">
      <c r="A909" t="s">
        <v>997</v>
      </c>
      <c r="B909" t="s">
        <v>105</v>
      </c>
      <c r="C909">
        <v>92</v>
      </c>
      <c r="D909" s="51">
        <v>68.75</v>
      </c>
      <c r="E909">
        <v>64.959999999999994</v>
      </c>
      <c r="F909" s="51">
        <v>-348.68000000000058</v>
      </c>
    </row>
    <row r="910" spans="1:6" x14ac:dyDescent="0.25">
      <c r="A910" t="s">
        <v>998</v>
      </c>
      <c r="B910" t="s">
        <v>46</v>
      </c>
      <c r="C910">
        <v>703</v>
      </c>
      <c r="D910" s="51">
        <v>88.510002136230469</v>
      </c>
      <c r="E910">
        <v>113.82</v>
      </c>
      <c r="F910" s="51">
        <v>17792.928498229976</v>
      </c>
    </row>
    <row r="911" spans="1:6" x14ac:dyDescent="0.25">
      <c r="A911" t="s">
        <v>999</v>
      </c>
      <c r="B911" t="s">
        <v>48</v>
      </c>
      <c r="C911">
        <v>474</v>
      </c>
      <c r="D911" s="51">
        <v>96.470001220703125</v>
      </c>
      <c r="E911">
        <v>114.38</v>
      </c>
      <c r="F911" s="51">
        <v>8489.3394213867159</v>
      </c>
    </row>
    <row r="912" spans="1:6" x14ac:dyDescent="0.25">
      <c r="A912" t="s">
        <v>1000</v>
      </c>
      <c r="B912" t="s">
        <v>90</v>
      </c>
      <c r="C912">
        <v>1007</v>
      </c>
      <c r="D912" s="51">
        <v>18.379999160766602</v>
      </c>
      <c r="E912">
        <v>23.3</v>
      </c>
      <c r="F912" s="51">
        <v>4954.4408451080326</v>
      </c>
    </row>
    <row r="913" spans="1:6" x14ac:dyDescent="0.25">
      <c r="A913" t="s">
        <v>1001</v>
      </c>
      <c r="B913" t="s">
        <v>48</v>
      </c>
      <c r="C913">
        <v>284</v>
      </c>
      <c r="D913" s="51">
        <v>66.040000915527344</v>
      </c>
      <c r="E913">
        <v>79.73</v>
      </c>
      <c r="F913" s="51">
        <v>3887.9597399902354</v>
      </c>
    </row>
    <row r="914" spans="1:6" x14ac:dyDescent="0.25">
      <c r="A914" t="s">
        <v>1002</v>
      </c>
      <c r="B914" t="s">
        <v>90</v>
      </c>
      <c r="C914">
        <v>56</v>
      </c>
      <c r="D914" s="51">
        <v>20.110000610351563</v>
      </c>
      <c r="E914">
        <v>24.94</v>
      </c>
      <c r="F914" s="51">
        <v>270.4799658203126</v>
      </c>
    </row>
    <row r="915" spans="1:6" x14ac:dyDescent="0.25">
      <c r="A915" t="s">
        <v>1003</v>
      </c>
      <c r="B915" t="s">
        <v>96</v>
      </c>
      <c r="C915">
        <v>487</v>
      </c>
      <c r="D915" s="51">
        <v>37.880001068115234</v>
      </c>
      <c r="E915">
        <v>31.16</v>
      </c>
      <c r="F915" s="51">
        <v>-3272.6405201721191</v>
      </c>
    </row>
    <row r="916" spans="1:6" x14ac:dyDescent="0.25">
      <c r="A916" t="s">
        <v>1004</v>
      </c>
      <c r="B916" t="s">
        <v>105</v>
      </c>
      <c r="C916">
        <v>1042</v>
      </c>
      <c r="D916" s="51">
        <v>86.139999389648438</v>
      </c>
      <c r="E916">
        <v>89.58</v>
      </c>
      <c r="F916" s="51">
        <v>3584.4806359863264</v>
      </c>
    </row>
    <row r="917" spans="1:6" x14ac:dyDescent="0.25">
      <c r="A917" t="s">
        <v>1005</v>
      </c>
      <c r="B917" t="s">
        <v>40</v>
      </c>
      <c r="C917">
        <v>628</v>
      </c>
      <c r="D917" s="51">
        <v>98.949996948242188</v>
      </c>
      <c r="E917">
        <v>115.42</v>
      </c>
      <c r="F917" s="51">
        <v>10343.161916503906</v>
      </c>
    </row>
    <row r="918" spans="1:6" x14ac:dyDescent="0.25">
      <c r="A918" t="s">
        <v>1006</v>
      </c>
      <c r="B918" t="s">
        <v>48</v>
      </c>
      <c r="C918">
        <v>985</v>
      </c>
      <c r="D918" s="51">
        <v>60.459999084472656</v>
      </c>
      <c r="E918">
        <v>46.84</v>
      </c>
      <c r="F918" s="51">
        <v>-13415.699098205563</v>
      </c>
    </row>
    <row r="919" spans="1:6" x14ac:dyDescent="0.25">
      <c r="A919" t="s">
        <v>1007</v>
      </c>
      <c r="B919" t="s">
        <v>96</v>
      </c>
      <c r="C919">
        <v>327</v>
      </c>
      <c r="D919" s="51">
        <v>12.760000228881836</v>
      </c>
      <c r="E919">
        <v>10.15</v>
      </c>
      <c r="F919" s="51">
        <v>-853.47007484436028</v>
      </c>
    </row>
    <row r="920" spans="1:6" x14ac:dyDescent="0.25">
      <c r="A920" t="s">
        <v>1008</v>
      </c>
      <c r="B920" t="s">
        <v>48</v>
      </c>
      <c r="C920">
        <v>232</v>
      </c>
      <c r="D920" s="51">
        <v>88.629997253417969</v>
      </c>
      <c r="E920">
        <v>99.69</v>
      </c>
      <c r="F920" s="51">
        <v>2565.9206372070307</v>
      </c>
    </row>
    <row r="921" spans="1:6" x14ac:dyDescent="0.25">
      <c r="A921" t="s">
        <v>1009</v>
      </c>
      <c r="B921" t="s">
        <v>52</v>
      </c>
      <c r="C921">
        <v>784</v>
      </c>
      <c r="D921" s="51">
        <v>69.400001525878906</v>
      </c>
      <c r="E921">
        <v>54.63</v>
      </c>
      <c r="F921" s="51">
        <v>-11579.681196289061</v>
      </c>
    </row>
    <row r="922" spans="1:6" x14ac:dyDescent="0.25">
      <c r="A922" t="s">
        <v>1010</v>
      </c>
      <c r="B922" t="s">
        <v>105</v>
      </c>
      <c r="C922">
        <v>961</v>
      </c>
      <c r="D922" s="51">
        <v>67.760002136230469</v>
      </c>
      <c r="E922">
        <v>84.14</v>
      </c>
      <c r="F922" s="51">
        <v>15741.17794708252</v>
      </c>
    </row>
    <row r="923" spans="1:6" x14ac:dyDescent="0.25">
      <c r="A923" t="s">
        <v>1011</v>
      </c>
      <c r="B923" t="s">
        <v>55</v>
      </c>
      <c r="C923">
        <v>277</v>
      </c>
      <c r="D923" s="51">
        <v>35.529998779296875</v>
      </c>
      <c r="E923">
        <v>29.94</v>
      </c>
      <c r="F923" s="51">
        <v>-1548.429661865234</v>
      </c>
    </row>
    <row r="924" spans="1:6" x14ac:dyDescent="0.25">
      <c r="A924" t="s">
        <v>1012</v>
      </c>
      <c r="B924" t="s">
        <v>105</v>
      </c>
      <c r="C924">
        <v>675</v>
      </c>
      <c r="D924" s="51">
        <v>96.540000915527344</v>
      </c>
      <c r="E924">
        <v>81.99</v>
      </c>
      <c r="F924" s="51">
        <v>-9821.2506179809607</v>
      </c>
    </row>
    <row r="925" spans="1:6" x14ac:dyDescent="0.25">
      <c r="A925" t="s">
        <v>1013</v>
      </c>
      <c r="B925" t="s">
        <v>52</v>
      </c>
      <c r="C925">
        <v>662</v>
      </c>
      <c r="D925" s="51">
        <v>104.36000061035156</v>
      </c>
      <c r="E925">
        <v>81.84</v>
      </c>
      <c r="F925" s="51">
        <v>-14908.240404052733</v>
      </c>
    </row>
    <row r="926" spans="1:6" x14ac:dyDescent="0.25">
      <c r="A926" t="s">
        <v>1014</v>
      </c>
      <c r="B926" t="s">
        <v>55</v>
      </c>
      <c r="C926">
        <v>707</v>
      </c>
      <c r="D926" s="51">
        <v>25.209999084472656</v>
      </c>
      <c r="E926">
        <v>28.82</v>
      </c>
      <c r="F926" s="51">
        <v>2552.2706472778323</v>
      </c>
    </row>
    <row r="927" spans="1:6" x14ac:dyDescent="0.25">
      <c r="A927" t="s">
        <v>1015</v>
      </c>
      <c r="B927" t="s">
        <v>52</v>
      </c>
      <c r="C927">
        <v>874</v>
      </c>
      <c r="D927" s="51">
        <v>45.669998168945313</v>
      </c>
      <c r="E927">
        <v>39.07</v>
      </c>
      <c r="F927" s="51">
        <v>-5768.3983996582028</v>
      </c>
    </row>
    <row r="928" spans="1:6" x14ac:dyDescent="0.25">
      <c r="A928" t="s">
        <v>1016</v>
      </c>
      <c r="B928" t="s">
        <v>105</v>
      </c>
      <c r="C928">
        <v>718</v>
      </c>
      <c r="D928" s="51">
        <v>105.58000183105469</v>
      </c>
      <c r="E928">
        <v>94.08</v>
      </c>
      <c r="F928" s="51">
        <v>-8257.0013146972669</v>
      </c>
    </row>
    <row r="929" spans="1:6" x14ac:dyDescent="0.25">
      <c r="A929" t="s">
        <v>1017</v>
      </c>
      <c r="B929" t="s">
        <v>46</v>
      </c>
      <c r="C929">
        <v>424</v>
      </c>
      <c r="D929" s="51">
        <v>55.790000915527344</v>
      </c>
      <c r="E929">
        <v>45.88</v>
      </c>
      <c r="F929" s="51">
        <v>-4201.8403881835929</v>
      </c>
    </row>
    <row r="930" spans="1:6" x14ac:dyDescent="0.25">
      <c r="A930" t="s">
        <v>1018</v>
      </c>
      <c r="B930" t="s">
        <v>55</v>
      </c>
      <c r="C930">
        <v>196</v>
      </c>
      <c r="D930" s="51">
        <v>41.009998321533203</v>
      </c>
      <c r="E930">
        <v>38.22</v>
      </c>
      <c r="F930" s="51">
        <v>-546.83967102050804</v>
      </c>
    </row>
    <row r="931" spans="1:6" x14ac:dyDescent="0.25">
      <c r="A931" t="s">
        <v>1019</v>
      </c>
      <c r="B931" t="s">
        <v>43</v>
      </c>
      <c r="C931">
        <v>902</v>
      </c>
      <c r="D931" s="51">
        <v>107.62000274658203</v>
      </c>
      <c r="E931">
        <v>93.94</v>
      </c>
      <c r="F931" s="51">
        <v>-12339.362477416995</v>
      </c>
    </row>
    <row r="932" spans="1:6" x14ac:dyDescent="0.25">
      <c r="A932" t="s">
        <v>1020</v>
      </c>
      <c r="B932" t="s">
        <v>96</v>
      </c>
      <c r="C932">
        <v>959</v>
      </c>
      <c r="D932" s="51">
        <v>36.450000762939453</v>
      </c>
      <c r="E932">
        <v>31.98</v>
      </c>
      <c r="F932" s="51">
        <v>-4286.7307316589349</v>
      </c>
    </row>
    <row r="933" spans="1:6" x14ac:dyDescent="0.25">
      <c r="A933" t="s">
        <v>1021</v>
      </c>
      <c r="B933" t="s">
        <v>55</v>
      </c>
      <c r="C933">
        <v>477</v>
      </c>
      <c r="D933" s="51">
        <v>100.62999725341797</v>
      </c>
      <c r="E933">
        <v>72.12</v>
      </c>
      <c r="F933" s="51">
        <v>-13599.268689880369</v>
      </c>
    </row>
    <row r="934" spans="1:6" x14ac:dyDescent="0.25">
      <c r="A934" t="s">
        <v>1022</v>
      </c>
      <c r="B934" t="s">
        <v>55</v>
      </c>
      <c r="C934">
        <v>651</v>
      </c>
      <c r="D934" s="51">
        <v>48.380001068115234</v>
      </c>
      <c r="E934">
        <v>58.55</v>
      </c>
      <c r="F934" s="51">
        <v>6620.6693046569808</v>
      </c>
    </row>
    <row r="935" spans="1:6" x14ac:dyDescent="0.25">
      <c r="A935" t="s">
        <v>1023</v>
      </c>
      <c r="B935" t="s">
        <v>55</v>
      </c>
      <c r="C935">
        <v>397</v>
      </c>
      <c r="D935" s="51">
        <v>10.840000152587891</v>
      </c>
      <c r="E935">
        <v>11.76</v>
      </c>
      <c r="F935" s="51">
        <v>365.23993942260734</v>
      </c>
    </row>
    <row r="936" spans="1:6" x14ac:dyDescent="0.25">
      <c r="A936" t="s">
        <v>1024</v>
      </c>
      <c r="B936" t="s">
        <v>40</v>
      </c>
      <c r="C936">
        <v>246</v>
      </c>
      <c r="D936" s="51">
        <v>34.860000610351563</v>
      </c>
      <c r="E936">
        <v>41.33</v>
      </c>
      <c r="F936" s="51">
        <v>1591.6198498535152</v>
      </c>
    </row>
    <row r="937" spans="1:6" x14ac:dyDescent="0.25">
      <c r="A937" t="s">
        <v>1025</v>
      </c>
      <c r="B937" t="s">
        <v>55</v>
      </c>
      <c r="C937">
        <v>484</v>
      </c>
      <c r="D937" s="51">
        <v>40.840000152587891</v>
      </c>
      <c r="E937">
        <v>42.14</v>
      </c>
      <c r="F937" s="51">
        <v>629.19992614746116</v>
      </c>
    </row>
    <row r="938" spans="1:6" x14ac:dyDescent="0.25">
      <c r="A938" t="s">
        <v>1026</v>
      </c>
      <c r="B938" t="s">
        <v>96</v>
      </c>
      <c r="C938">
        <v>544</v>
      </c>
      <c r="D938" s="51">
        <v>105.51000213623047</v>
      </c>
      <c r="E938">
        <v>98.14</v>
      </c>
      <c r="F938" s="51">
        <v>-4009.2811621093747</v>
      </c>
    </row>
    <row r="939" spans="1:6" x14ac:dyDescent="0.25">
      <c r="A939" t="s">
        <v>1027</v>
      </c>
      <c r="B939" t="s">
        <v>48</v>
      </c>
      <c r="C939">
        <v>643</v>
      </c>
      <c r="D939" s="51">
        <v>69.769996643066406</v>
      </c>
      <c r="E939">
        <v>85.95</v>
      </c>
      <c r="F939" s="51">
        <v>10403.742158508303</v>
      </c>
    </row>
    <row r="940" spans="1:6" x14ac:dyDescent="0.25">
      <c r="A940" t="s">
        <v>1028</v>
      </c>
      <c r="B940" t="s">
        <v>90</v>
      </c>
      <c r="C940">
        <v>676</v>
      </c>
      <c r="D940" s="51">
        <v>71.510002136230469</v>
      </c>
      <c r="E940">
        <v>81.73</v>
      </c>
      <c r="F940" s="51">
        <v>6908.7185559082054</v>
      </c>
    </row>
    <row r="941" spans="1:6" x14ac:dyDescent="0.25">
      <c r="A941" t="s">
        <v>1029</v>
      </c>
      <c r="B941" t="s">
        <v>105</v>
      </c>
      <c r="C941">
        <v>354</v>
      </c>
      <c r="D941" s="51">
        <v>103.36000061035156</v>
      </c>
      <c r="E941">
        <v>132.58000000000001</v>
      </c>
      <c r="F941" s="51">
        <v>10343.879783935552</v>
      </c>
    </row>
    <row r="942" spans="1:6" x14ac:dyDescent="0.25">
      <c r="A942" t="s">
        <v>1030</v>
      </c>
      <c r="B942" t="s">
        <v>105</v>
      </c>
      <c r="C942">
        <v>599</v>
      </c>
      <c r="D942" s="51">
        <v>95.599998474121094</v>
      </c>
      <c r="E942">
        <v>95.05</v>
      </c>
      <c r="F942" s="51">
        <v>-329.44908599853687</v>
      </c>
    </row>
    <row r="943" spans="1:6" x14ac:dyDescent="0.25">
      <c r="A943" t="s">
        <v>1031</v>
      </c>
      <c r="B943" t="s">
        <v>55</v>
      </c>
      <c r="C943">
        <v>177</v>
      </c>
      <c r="D943" s="51">
        <v>23.879999160766602</v>
      </c>
      <c r="E943">
        <v>28.73</v>
      </c>
      <c r="F943" s="51">
        <v>858.45014854431156</v>
      </c>
    </row>
    <row r="944" spans="1:6" x14ac:dyDescent="0.25">
      <c r="A944" t="s">
        <v>1032</v>
      </c>
      <c r="B944" t="s">
        <v>46</v>
      </c>
      <c r="C944">
        <v>597</v>
      </c>
      <c r="D944" s="51">
        <v>42.090000152587891</v>
      </c>
      <c r="E944">
        <v>34.799999999999997</v>
      </c>
      <c r="F944" s="51">
        <v>-4352.1300910949722</v>
      </c>
    </row>
    <row r="945" spans="1:6" x14ac:dyDescent="0.25">
      <c r="A945" t="s">
        <v>1033</v>
      </c>
      <c r="B945" t="s">
        <v>40</v>
      </c>
      <c r="C945">
        <v>248</v>
      </c>
      <c r="D945" s="51">
        <v>40.159999847412109</v>
      </c>
      <c r="E945">
        <v>45.55</v>
      </c>
      <c r="F945" s="51">
        <v>1336.7200378417961</v>
      </c>
    </row>
    <row r="946" spans="1:6" x14ac:dyDescent="0.25">
      <c r="A946" t="s">
        <v>1034</v>
      </c>
      <c r="B946" t="s">
        <v>96</v>
      </c>
      <c r="C946">
        <v>786</v>
      </c>
      <c r="D946" s="51">
        <v>26.860000610351563</v>
      </c>
      <c r="E946">
        <v>33.700000000000003</v>
      </c>
      <c r="F946" s="51">
        <v>5376.2395202636744</v>
      </c>
    </row>
    <row r="947" spans="1:6" x14ac:dyDescent="0.25">
      <c r="A947" t="s">
        <v>1035</v>
      </c>
      <c r="B947" t="s">
        <v>43</v>
      </c>
      <c r="C947">
        <v>782</v>
      </c>
      <c r="D947" s="51">
        <v>37.610000610351563</v>
      </c>
      <c r="E947">
        <v>39.06</v>
      </c>
      <c r="F947" s="51">
        <v>1133.89952270508</v>
      </c>
    </row>
    <row r="948" spans="1:6" x14ac:dyDescent="0.25">
      <c r="A948" t="s">
        <v>1036</v>
      </c>
      <c r="B948" t="s">
        <v>55</v>
      </c>
      <c r="C948">
        <v>607</v>
      </c>
      <c r="D948" s="51">
        <v>67.330001831054688</v>
      </c>
      <c r="E948">
        <v>71.680000000000007</v>
      </c>
      <c r="F948" s="51">
        <v>2640.448888549809</v>
      </c>
    </row>
    <row r="949" spans="1:6" x14ac:dyDescent="0.25">
      <c r="A949" t="s">
        <v>1037</v>
      </c>
      <c r="B949" t="s">
        <v>96</v>
      </c>
      <c r="C949">
        <v>574</v>
      </c>
      <c r="D949" s="51">
        <v>28.190000534057617</v>
      </c>
      <c r="E949">
        <v>28.22</v>
      </c>
      <c r="F949" s="51">
        <v>17.219693450927082</v>
      </c>
    </row>
    <row r="950" spans="1:6" x14ac:dyDescent="0.25">
      <c r="A950" t="s">
        <v>1038</v>
      </c>
      <c r="B950" t="s">
        <v>48</v>
      </c>
      <c r="C950">
        <v>330</v>
      </c>
      <c r="D950" s="51">
        <v>32.490001678466797</v>
      </c>
      <c r="E950">
        <v>36.200000000000003</v>
      </c>
      <c r="F950" s="51">
        <v>1224.2994461059579</v>
      </c>
    </row>
    <row r="951" spans="1:6" x14ac:dyDescent="0.25">
      <c r="A951" t="s">
        <v>1039</v>
      </c>
      <c r="B951" t="s">
        <v>37</v>
      </c>
      <c r="C951">
        <v>495</v>
      </c>
      <c r="D951" s="51">
        <v>100.41999816894531</v>
      </c>
      <c r="E951">
        <v>93.2</v>
      </c>
      <c r="F951" s="51">
        <v>-3573.8990936279283</v>
      </c>
    </row>
    <row r="952" spans="1:6" x14ac:dyDescent="0.25">
      <c r="A952" t="s">
        <v>1040</v>
      </c>
      <c r="B952" t="s">
        <v>37</v>
      </c>
      <c r="C952">
        <v>554</v>
      </c>
      <c r="D952" s="51">
        <v>92.910003662109375</v>
      </c>
      <c r="E952">
        <v>96.03</v>
      </c>
      <c r="F952" s="51">
        <v>1728.4779711914068</v>
      </c>
    </row>
    <row r="953" spans="1:6" x14ac:dyDescent="0.25">
      <c r="A953" t="s">
        <v>1041</v>
      </c>
      <c r="B953" t="s">
        <v>96</v>
      </c>
      <c r="C953">
        <v>995</v>
      </c>
      <c r="D953" s="51">
        <v>69.400001525878906</v>
      </c>
      <c r="E953">
        <v>58.86</v>
      </c>
      <c r="F953" s="51">
        <v>-10487.301518249513</v>
      </c>
    </row>
    <row r="954" spans="1:6" x14ac:dyDescent="0.25">
      <c r="A954" t="s">
        <v>1042</v>
      </c>
      <c r="B954" t="s">
        <v>43</v>
      </c>
      <c r="C954">
        <v>703</v>
      </c>
      <c r="D954" s="51">
        <v>70.699996948242188</v>
      </c>
      <c r="E954">
        <v>51.24</v>
      </c>
      <c r="F954" s="51">
        <v>-13680.377854614257</v>
      </c>
    </row>
    <row r="955" spans="1:6" x14ac:dyDescent="0.25">
      <c r="A955" t="s">
        <v>1043</v>
      </c>
      <c r="B955" t="s">
        <v>40</v>
      </c>
      <c r="C955">
        <v>600</v>
      </c>
      <c r="D955" s="51">
        <v>26.770000457763672</v>
      </c>
      <c r="E955">
        <v>32.43</v>
      </c>
      <c r="F955" s="51">
        <v>3395.9997253417969</v>
      </c>
    </row>
    <row r="956" spans="1:6" x14ac:dyDescent="0.25">
      <c r="A956" t="s">
        <v>1044</v>
      </c>
      <c r="B956" t="s">
        <v>90</v>
      </c>
      <c r="C956">
        <v>534</v>
      </c>
      <c r="D956" s="51">
        <v>89.540000915527344</v>
      </c>
      <c r="E956">
        <v>112.93</v>
      </c>
      <c r="F956" s="51">
        <v>12490.259511108403</v>
      </c>
    </row>
    <row r="957" spans="1:6" x14ac:dyDescent="0.25">
      <c r="A957" t="s">
        <v>1045</v>
      </c>
      <c r="B957" t="s">
        <v>96</v>
      </c>
      <c r="C957">
        <v>419</v>
      </c>
      <c r="D957" s="51">
        <v>90.739997863769531</v>
      </c>
      <c r="E957">
        <v>71.72</v>
      </c>
      <c r="F957" s="51">
        <v>-7969.3791049194342</v>
      </c>
    </row>
    <row r="958" spans="1:6" x14ac:dyDescent="0.25">
      <c r="A958" t="s">
        <v>1046</v>
      </c>
      <c r="B958" t="s">
        <v>90</v>
      </c>
      <c r="C958">
        <v>628</v>
      </c>
      <c r="D958" s="51">
        <v>24.680000305175781</v>
      </c>
      <c r="E958">
        <v>24.4</v>
      </c>
      <c r="F958" s="51">
        <v>-175.84019165039152</v>
      </c>
    </row>
    <row r="959" spans="1:6" x14ac:dyDescent="0.25">
      <c r="A959" t="s">
        <v>1047</v>
      </c>
      <c r="B959" t="s">
        <v>37</v>
      </c>
      <c r="C959">
        <v>633</v>
      </c>
      <c r="D959" s="51">
        <v>56.090000152587891</v>
      </c>
      <c r="E959">
        <v>66.12</v>
      </c>
      <c r="F959" s="51">
        <v>6348.989903411868</v>
      </c>
    </row>
    <row r="960" spans="1:6" x14ac:dyDescent="0.25">
      <c r="A960" t="s">
        <v>1048</v>
      </c>
      <c r="B960" t="s">
        <v>40</v>
      </c>
      <c r="C960">
        <v>896</v>
      </c>
      <c r="D960" s="51">
        <v>52.930000305175781</v>
      </c>
      <c r="E960">
        <v>64.83</v>
      </c>
      <c r="F960" s="51">
        <v>10662.399726562498</v>
      </c>
    </row>
    <row r="961" spans="1:6" x14ac:dyDescent="0.25">
      <c r="A961" t="s">
        <v>1049</v>
      </c>
      <c r="B961" t="s">
        <v>55</v>
      </c>
      <c r="C961">
        <v>1007</v>
      </c>
      <c r="D961" s="51">
        <v>44.169998168945313</v>
      </c>
      <c r="E961">
        <v>48.26</v>
      </c>
      <c r="F961" s="51">
        <v>4118.6318438720682</v>
      </c>
    </row>
    <row r="962" spans="1:6" x14ac:dyDescent="0.25">
      <c r="A962" t="s">
        <v>1050</v>
      </c>
      <c r="B962" t="s">
        <v>37</v>
      </c>
      <c r="C962">
        <v>77</v>
      </c>
      <c r="D962" s="51">
        <v>102.65000152587891</v>
      </c>
      <c r="E962">
        <v>118.93</v>
      </c>
      <c r="F962" s="51">
        <v>1253.5598825073248</v>
      </c>
    </row>
    <row r="963" spans="1:6" x14ac:dyDescent="0.25">
      <c r="A963" t="s">
        <v>1051</v>
      </c>
      <c r="B963" t="s">
        <v>48</v>
      </c>
      <c r="C963">
        <v>379</v>
      </c>
      <c r="D963" s="51">
        <v>52.860000610351563</v>
      </c>
      <c r="E963">
        <v>45.97</v>
      </c>
      <c r="F963" s="51">
        <v>-2611.3102313232425</v>
      </c>
    </row>
    <row r="964" spans="1:6" x14ac:dyDescent="0.25">
      <c r="A964" t="s">
        <v>1052</v>
      </c>
      <c r="B964" t="s">
        <v>96</v>
      </c>
      <c r="C964">
        <v>237</v>
      </c>
      <c r="D964" s="51">
        <v>103.76999664306641</v>
      </c>
      <c r="E964">
        <v>119.5</v>
      </c>
      <c r="F964" s="51">
        <v>3728.0107955932617</v>
      </c>
    </row>
    <row r="965" spans="1:6" x14ac:dyDescent="0.25">
      <c r="A965" t="s">
        <v>1053</v>
      </c>
      <c r="B965" t="s">
        <v>90</v>
      </c>
      <c r="C965">
        <v>168</v>
      </c>
      <c r="D965" s="51">
        <v>106.62999725341797</v>
      </c>
      <c r="E965">
        <v>103.38</v>
      </c>
      <c r="F965" s="51">
        <v>-545.99953857421951</v>
      </c>
    </row>
    <row r="966" spans="1:6" x14ac:dyDescent="0.25">
      <c r="A966" t="s">
        <v>1054</v>
      </c>
      <c r="B966" t="s">
        <v>55</v>
      </c>
      <c r="C966">
        <v>272</v>
      </c>
      <c r="D966" s="51">
        <v>37.790000915527344</v>
      </c>
      <c r="E966">
        <v>46.73</v>
      </c>
      <c r="F966" s="51">
        <v>2431.6797509765615</v>
      </c>
    </row>
    <row r="967" spans="1:6" x14ac:dyDescent="0.25">
      <c r="A967" t="s">
        <v>1055</v>
      </c>
      <c r="B967" t="s">
        <v>48</v>
      </c>
      <c r="C967">
        <v>872</v>
      </c>
      <c r="D967" s="51">
        <v>106.51000213623047</v>
      </c>
      <c r="E967">
        <v>114.38</v>
      </c>
      <c r="F967" s="51">
        <v>6862.6381372070273</v>
      </c>
    </row>
    <row r="968" spans="1:6" x14ac:dyDescent="0.25">
      <c r="A968" t="s">
        <v>1056</v>
      </c>
      <c r="B968" t="s">
        <v>37</v>
      </c>
      <c r="C968">
        <v>405</v>
      </c>
      <c r="D968" s="51">
        <v>87.769996643066406</v>
      </c>
      <c r="E968">
        <v>71.88</v>
      </c>
      <c r="F968" s="51">
        <v>-6435.4486404418967</v>
      </c>
    </row>
    <row r="969" spans="1:6" x14ac:dyDescent="0.25">
      <c r="A969" t="s">
        <v>1057</v>
      </c>
      <c r="B969" t="s">
        <v>40</v>
      </c>
      <c r="C969">
        <v>565</v>
      </c>
      <c r="D969" s="51">
        <v>80.089996337890625</v>
      </c>
      <c r="E969">
        <v>78.98</v>
      </c>
      <c r="F969" s="51">
        <v>-627.14793090820092</v>
      </c>
    </row>
    <row r="970" spans="1:6" x14ac:dyDescent="0.25">
      <c r="A970" t="s">
        <v>1058</v>
      </c>
      <c r="B970" t="s">
        <v>90</v>
      </c>
      <c r="C970">
        <v>688</v>
      </c>
      <c r="D970" s="51">
        <v>88.330001831054688</v>
      </c>
      <c r="E970">
        <v>68.48</v>
      </c>
      <c r="F970" s="51">
        <v>-13656.801259765622</v>
      </c>
    </row>
    <row r="971" spans="1:6" x14ac:dyDescent="0.25">
      <c r="A971" t="s">
        <v>1059</v>
      </c>
      <c r="B971" t="s">
        <v>52</v>
      </c>
      <c r="C971">
        <v>398</v>
      </c>
      <c r="D971" s="51">
        <v>31.510000228881836</v>
      </c>
      <c r="E971">
        <v>29.35</v>
      </c>
      <c r="F971" s="51">
        <v>-859.68009109497018</v>
      </c>
    </row>
    <row r="972" spans="1:6" x14ac:dyDescent="0.25">
      <c r="A972" t="s">
        <v>1060</v>
      </c>
      <c r="B972" t="s">
        <v>46</v>
      </c>
      <c r="C972">
        <v>498</v>
      </c>
      <c r="D972" s="51">
        <v>75.639999389648438</v>
      </c>
      <c r="E972">
        <v>57.06</v>
      </c>
      <c r="F972" s="51">
        <v>-9252.8396960449209</v>
      </c>
    </row>
    <row r="973" spans="1:6" x14ac:dyDescent="0.25">
      <c r="A973" t="s">
        <v>1061</v>
      </c>
      <c r="B973" t="s">
        <v>48</v>
      </c>
      <c r="C973">
        <v>105</v>
      </c>
      <c r="D973" s="51">
        <v>91.5</v>
      </c>
      <c r="E973">
        <v>115.04</v>
      </c>
      <c r="F973" s="51">
        <v>2471.7000000000007</v>
      </c>
    </row>
    <row r="974" spans="1:6" x14ac:dyDescent="0.25">
      <c r="A974" t="s">
        <v>1062</v>
      </c>
      <c r="B974" t="s">
        <v>37</v>
      </c>
      <c r="C974">
        <v>1045</v>
      </c>
      <c r="D974" s="51">
        <v>37.450000762939453</v>
      </c>
      <c r="E974">
        <v>47.82</v>
      </c>
      <c r="F974" s="51">
        <v>10836.649202728271</v>
      </c>
    </row>
    <row r="975" spans="1:6" x14ac:dyDescent="0.25">
      <c r="A975" t="s">
        <v>1063</v>
      </c>
      <c r="B975" t="s">
        <v>37</v>
      </c>
      <c r="C975">
        <v>493</v>
      </c>
      <c r="D975" s="51">
        <v>67.30999755859375</v>
      </c>
      <c r="E975">
        <v>62.75</v>
      </c>
      <c r="F975" s="51">
        <v>-2248.0787963867188</v>
      </c>
    </row>
    <row r="976" spans="1:6" x14ac:dyDescent="0.25">
      <c r="A976" t="s">
        <v>1064</v>
      </c>
      <c r="B976" t="s">
        <v>37</v>
      </c>
      <c r="C976">
        <v>863</v>
      </c>
      <c r="D976" s="51">
        <v>63.080001831054688</v>
      </c>
      <c r="E976">
        <v>65.290000000000006</v>
      </c>
      <c r="F976" s="51">
        <v>1907.2284197998101</v>
      </c>
    </row>
    <row r="977" spans="1:6" x14ac:dyDescent="0.25">
      <c r="A977" t="s">
        <v>1065</v>
      </c>
      <c r="B977" t="s">
        <v>55</v>
      </c>
      <c r="C977">
        <v>950</v>
      </c>
      <c r="D977" s="51">
        <v>92.800003051757813</v>
      </c>
      <c r="E977">
        <v>78.66</v>
      </c>
      <c r="F977" s="51">
        <v>-13433.002899169926</v>
      </c>
    </row>
    <row r="978" spans="1:6" x14ac:dyDescent="0.25">
      <c r="A978" t="s">
        <v>1066</v>
      </c>
      <c r="B978" t="s">
        <v>37</v>
      </c>
      <c r="C978">
        <v>317</v>
      </c>
      <c r="D978" s="51">
        <v>93.370002746582031</v>
      </c>
      <c r="E978">
        <v>74.09</v>
      </c>
      <c r="F978" s="51">
        <v>-6111.7608706665033</v>
      </c>
    </row>
    <row r="979" spans="1:6" x14ac:dyDescent="0.25">
      <c r="A979" t="s">
        <v>1067</v>
      </c>
      <c r="B979" t="s">
        <v>90</v>
      </c>
      <c r="C979">
        <v>941</v>
      </c>
      <c r="D979" s="51">
        <v>78.360000610351563</v>
      </c>
      <c r="E979">
        <v>87.46</v>
      </c>
      <c r="F979" s="51">
        <v>8563.099425659173</v>
      </c>
    </row>
    <row r="980" spans="1:6" x14ac:dyDescent="0.25">
      <c r="A980" t="s">
        <v>1068</v>
      </c>
      <c r="B980" t="s">
        <v>43</v>
      </c>
      <c r="C980">
        <v>98</v>
      </c>
      <c r="D980" s="51">
        <v>70.779998779296875</v>
      </c>
      <c r="E980">
        <v>91.19</v>
      </c>
      <c r="F980" s="51">
        <v>2000.1801196289061</v>
      </c>
    </row>
    <row r="981" spans="1:6" x14ac:dyDescent="0.25">
      <c r="A981" t="s">
        <v>1069</v>
      </c>
      <c r="B981" t="s">
        <v>52</v>
      </c>
      <c r="C981">
        <v>509</v>
      </c>
      <c r="D981" s="51">
        <v>60.950000762939453</v>
      </c>
      <c r="E981">
        <v>47.07</v>
      </c>
      <c r="F981" s="51">
        <v>-7064.9203883361815</v>
      </c>
    </row>
    <row r="982" spans="1:6" x14ac:dyDescent="0.25">
      <c r="A982" t="s">
        <v>1070</v>
      </c>
      <c r="B982" t="s">
        <v>55</v>
      </c>
      <c r="C982">
        <v>727</v>
      </c>
      <c r="D982" s="51">
        <v>89.290000915527344</v>
      </c>
      <c r="E982">
        <v>100.7</v>
      </c>
      <c r="F982" s="51">
        <v>8295.0693344116225</v>
      </c>
    </row>
    <row r="983" spans="1:6" x14ac:dyDescent="0.25">
      <c r="A983" t="s">
        <v>1071</v>
      </c>
      <c r="B983" t="s">
        <v>90</v>
      </c>
      <c r="C983">
        <v>777</v>
      </c>
      <c r="D983" s="51">
        <v>54.110000610351563</v>
      </c>
      <c r="E983">
        <v>58.04</v>
      </c>
      <c r="F983" s="51">
        <v>3053.6095257568354</v>
      </c>
    </row>
    <row r="984" spans="1:6" x14ac:dyDescent="0.25">
      <c r="A984" t="s">
        <v>1072</v>
      </c>
      <c r="B984" t="s">
        <v>90</v>
      </c>
      <c r="C984">
        <v>51</v>
      </c>
      <c r="D984" s="51">
        <v>44.459999084472656</v>
      </c>
      <c r="E984">
        <v>57.43</v>
      </c>
      <c r="F984" s="51">
        <v>661.47004669189448</v>
      </c>
    </row>
    <row r="985" spans="1:6" x14ac:dyDescent="0.25">
      <c r="A985" t="s">
        <v>1073</v>
      </c>
      <c r="B985" t="s">
        <v>105</v>
      </c>
      <c r="C985">
        <v>444</v>
      </c>
      <c r="D985" s="51">
        <v>97.910003662109375</v>
      </c>
      <c r="E985">
        <v>97.5</v>
      </c>
      <c r="F985" s="51">
        <v>-182.0416259765625</v>
      </c>
    </row>
    <row r="986" spans="1:6" x14ac:dyDescent="0.25">
      <c r="A986" t="s">
        <v>1074</v>
      </c>
      <c r="B986" t="s">
        <v>43</v>
      </c>
      <c r="C986">
        <v>747</v>
      </c>
      <c r="D986" s="51">
        <v>83.400001525878906</v>
      </c>
      <c r="E986">
        <v>102.74</v>
      </c>
      <c r="F986" s="51">
        <v>14446.978860168454</v>
      </c>
    </row>
    <row r="987" spans="1:6" x14ac:dyDescent="0.25">
      <c r="A987" t="s">
        <v>1075</v>
      </c>
      <c r="B987" t="s">
        <v>48</v>
      </c>
      <c r="C987">
        <v>287</v>
      </c>
      <c r="D987" s="51">
        <v>109.01999664306641</v>
      </c>
      <c r="E987">
        <v>124.5</v>
      </c>
      <c r="F987" s="51">
        <v>4442.7609634399414</v>
      </c>
    </row>
    <row r="988" spans="1:6" x14ac:dyDescent="0.25">
      <c r="A988" t="s">
        <v>1076</v>
      </c>
      <c r="B988" t="s">
        <v>43</v>
      </c>
      <c r="C988">
        <v>819</v>
      </c>
      <c r="D988" s="51">
        <v>54.810001373291016</v>
      </c>
      <c r="E988">
        <v>53.29</v>
      </c>
      <c r="F988" s="51">
        <v>-1244.8811247253425</v>
      </c>
    </row>
    <row r="989" spans="1:6" x14ac:dyDescent="0.25">
      <c r="A989" t="s">
        <v>1077</v>
      </c>
      <c r="B989" t="s">
        <v>96</v>
      </c>
      <c r="C989">
        <v>663</v>
      </c>
      <c r="D989" s="51">
        <v>30.629999160766602</v>
      </c>
      <c r="E989">
        <v>31.65</v>
      </c>
      <c r="F989" s="51">
        <v>676.26055641174219</v>
      </c>
    </row>
    <row r="990" spans="1:6" x14ac:dyDescent="0.25">
      <c r="A990" t="s">
        <v>1078</v>
      </c>
      <c r="B990" t="s">
        <v>90</v>
      </c>
      <c r="C990">
        <v>100</v>
      </c>
      <c r="D990" s="51">
        <v>58.919998168945313</v>
      </c>
      <c r="E990">
        <v>47.63</v>
      </c>
      <c r="F990" s="51">
        <v>-1128.999816894531</v>
      </c>
    </row>
    <row r="991" spans="1:6" x14ac:dyDescent="0.25">
      <c r="A991" t="s">
        <v>1079</v>
      </c>
      <c r="B991" t="s">
        <v>105</v>
      </c>
      <c r="C991">
        <v>1006</v>
      </c>
      <c r="D991" s="51">
        <v>82.529998779296875</v>
      </c>
      <c r="E991">
        <v>100.17</v>
      </c>
      <c r="F991" s="51">
        <v>17745.841228027344</v>
      </c>
    </row>
    <row r="992" spans="1:6" x14ac:dyDescent="0.25">
      <c r="A992" t="s">
        <v>1080</v>
      </c>
      <c r="B992" t="s">
        <v>90</v>
      </c>
      <c r="C992">
        <v>750</v>
      </c>
      <c r="D992" s="51">
        <v>97.540000915527344</v>
      </c>
      <c r="E992">
        <v>98.28</v>
      </c>
      <c r="F992" s="51">
        <v>554.9993133544931</v>
      </c>
    </row>
    <row r="993" spans="1:6" x14ac:dyDescent="0.25">
      <c r="A993" t="s">
        <v>1081</v>
      </c>
      <c r="B993" t="s">
        <v>105</v>
      </c>
      <c r="C993">
        <v>328</v>
      </c>
      <c r="D993" s="51">
        <v>11.060000419616699</v>
      </c>
      <c r="E993">
        <v>12.71</v>
      </c>
      <c r="F993" s="51">
        <v>541.19986236572299</v>
      </c>
    </row>
    <row r="994" spans="1:6" x14ac:dyDescent="0.25">
      <c r="A994" t="s">
        <v>1082</v>
      </c>
      <c r="B994" t="s">
        <v>52</v>
      </c>
      <c r="C994">
        <v>758</v>
      </c>
      <c r="D994" s="51">
        <v>24.040000915527344</v>
      </c>
      <c r="E994">
        <v>21.86</v>
      </c>
      <c r="F994" s="51">
        <v>-1652.4406939697269</v>
      </c>
    </row>
    <row r="995" spans="1:6" x14ac:dyDescent="0.25">
      <c r="A995" t="s">
        <v>1083</v>
      </c>
      <c r="B995" t="s">
        <v>90</v>
      </c>
      <c r="C995">
        <v>719</v>
      </c>
      <c r="D995" s="51">
        <v>39.110000610351563</v>
      </c>
      <c r="E995">
        <v>28.47</v>
      </c>
      <c r="F995" s="51">
        <v>-7650.1604388427741</v>
      </c>
    </row>
    <row r="996" spans="1:6" x14ac:dyDescent="0.25">
      <c r="A996" t="s">
        <v>1084</v>
      </c>
      <c r="B996" t="s">
        <v>55</v>
      </c>
      <c r="C996">
        <v>441</v>
      </c>
      <c r="D996" s="51">
        <v>93.360000610351563</v>
      </c>
      <c r="E996">
        <v>95.69</v>
      </c>
      <c r="F996" s="51">
        <v>1027.52973083496</v>
      </c>
    </row>
    <row r="997" spans="1:6" x14ac:dyDescent="0.25">
      <c r="A997" t="s">
        <v>1085</v>
      </c>
      <c r="B997" t="s">
        <v>37</v>
      </c>
      <c r="C997">
        <v>848</v>
      </c>
      <c r="D997" s="51">
        <v>16.149999618530273</v>
      </c>
      <c r="E997">
        <v>18.72</v>
      </c>
      <c r="F997" s="51">
        <v>2179.3603234863272</v>
      </c>
    </row>
    <row r="998" spans="1:6" x14ac:dyDescent="0.25">
      <c r="A998" t="s">
        <v>1086</v>
      </c>
      <c r="B998" t="s">
        <v>90</v>
      </c>
      <c r="C998">
        <v>944</v>
      </c>
      <c r="D998" s="51">
        <v>11.970000267028809</v>
      </c>
      <c r="E998">
        <v>11.22</v>
      </c>
      <c r="F998" s="51">
        <v>-708.00025207519468</v>
      </c>
    </row>
    <row r="999" spans="1:6" x14ac:dyDescent="0.25">
      <c r="A999" t="s">
        <v>1087</v>
      </c>
      <c r="B999" t="s">
        <v>105</v>
      </c>
      <c r="C999">
        <v>461</v>
      </c>
      <c r="D999" s="51">
        <v>68.209999084472656</v>
      </c>
      <c r="E999">
        <v>73.28</v>
      </c>
      <c r="F999" s="51">
        <v>2337.2704220581059</v>
      </c>
    </row>
    <row r="1000" spans="1:6" x14ac:dyDescent="0.25">
      <c r="A1000" t="s">
        <v>1088</v>
      </c>
      <c r="B1000" t="s">
        <v>40</v>
      </c>
      <c r="C1000">
        <v>741</v>
      </c>
      <c r="D1000" s="51">
        <v>87.949996948242188</v>
      </c>
      <c r="E1000">
        <v>70.510000000000005</v>
      </c>
      <c r="F1000" s="51">
        <v>-12923.037738647457</v>
      </c>
    </row>
    <row r="1001" spans="1:6" x14ac:dyDescent="0.25">
      <c r="A1001" t="s">
        <v>1089</v>
      </c>
      <c r="B1001" t="s">
        <v>105</v>
      </c>
      <c r="C1001">
        <v>883</v>
      </c>
      <c r="D1001" s="51">
        <v>47.860000610351563</v>
      </c>
      <c r="E1001">
        <v>49.16</v>
      </c>
      <c r="F1001" s="51">
        <v>1147.8994610595673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Anagrafica</vt:lpstr>
      <vt:lpstr>Bonds</vt:lpstr>
      <vt:lpstr>Report</vt:lpstr>
      <vt:lpstr>PortafoglioPro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Mele Ceschiutti</dc:creator>
  <cp:lastModifiedBy>Emanele Ceschiutti</cp:lastModifiedBy>
  <dcterms:created xsi:type="dcterms:W3CDTF">2015-06-05T18:17:20Z</dcterms:created>
  <dcterms:modified xsi:type="dcterms:W3CDTF">2026-06-01T17:49:42Z</dcterms:modified>
</cp:coreProperties>
</file>